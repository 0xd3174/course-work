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Нитрат" sheetId="2" state="visible" r:id="rId2"/>
    <sheet name="Нитрит" sheetId="3" state="visible" r:id="rId3"/>
    <sheet name="Сульфат" sheetId="4" state="visible" r:id="rId4"/>
    <sheet name="Фторид" sheetId="5" state="visible" r:id="rId5"/>
    <sheet name="Фосфат" sheetId="6" state="visible" r:id="rId6"/>
    <sheet name="Хлори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"/>
    <numFmt numFmtId="167" formatCode="0.00000"/>
    <numFmt numFmtId="168" formatCode="0.00000000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F4E78"/>
      <sz val="12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AECEF"/>
        <bgColor rgb="00EAECEF"/>
      </patternFill>
    </fill>
    <fill>
      <patternFill patternType="solid">
        <fgColor rgb="005B9BD5"/>
        <bgColor rgb="005B9BD5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6" fontId="4" fillId="0" borderId="1" pivotButton="0" quotePrefix="0" xfId="0"/>
    <xf numFmtId="0" fontId="6" fillId="3" borderId="1" pivotButton="0" quotePrefix="0" xfId="0"/>
    <xf numFmtId="2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0" fontId="6" fillId="0" borderId="0" pivotButton="0" quotePrefix="0" xfId="0"/>
    <xf numFmtId="0" fontId="6" fillId="4" borderId="1" pivotButton="0" quotePrefix="0" xfId="0"/>
    <xf numFmtId="167" fontId="6" fillId="5" borderId="1" pivotButton="0" quotePrefix="0" xfId="0"/>
    <xf numFmtId="0" fontId="4" fillId="4" borderId="1" pivotButton="0" quotePrefix="0" xfId="0"/>
    <xf numFmtId="166" fontId="4" fillId="5" borderId="1" pivotButton="0" quotePrefix="0" xfId="0"/>
    <xf numFmtId="168" fontId="4" fillId="5" borderId="1" pivotButton="0" quotePrefix="0" xfId="0"/>
    <xf numFmtId="167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Градуировочный график (прохождение через 0): Нитрат-ион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trendline>
            <trendlineType val="linear"/>
            <intercept val="0"/>
          </trendline>
          <xVal>
            <numRef>
              <f>'Нитрат'!$B$14:$B$28</f>
            </numRef>
          </xVal>
          <yVal>
            <numRef>
              <f>'Нитрат'!$C$14:$C$28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Концентрация C, мг/дм3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Площадь пика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Градуировочный график (прохождение через 0): Нитрит-ион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trendline>
            <trendlineType val="linear"/>
            <intercept val="0"/>
          </trendline>
          <xVal>
            <numRef>
              <f>'Нитрит'!$B$14:$B$28</f>
            </numRef>
          </xVal>
          <yVal>
            <numRef>
              <f>'Нитрит'!$C$14:$C$28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Концентрация C, мг/дм3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Площадь пика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Градуировочный график (прохождение через 0): Сульфат-ион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trendline>
            <trendlineType val="linear"/>
            <intercept val="0"/>
          </trendline>
          <xVal>
            <numRef>
              <f>'Сульфат'!$B$14:$B$31</f>
            </numRef>
          </xVal>
          <yVal>
            <numRef>
              <f>'Сульфат'!$C$14:$C$31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Концентрация C, мг/дм3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Площадь пика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Градуировочный график (прохождение через 0): Фторид-ион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trendline>
            <trendlineType val="linear"/>
            <intercept val="0"/>
          </trendline>
          <xVal>
            <numRef>
              <f>'Фторид'!$B$14:$B$25</f>
            </numRef>
          </xVal>
          <yVal>
            <numRef>
              <f>'Фторид'!$C$14:$C$25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Концентрация C, мг/дм3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Площадь пика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Градуировочный график (прохождение через 0): Фосфат-ион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trendline>
            <trendlineType val="linear"/>
            <intercept val="0"/>
          </trendline>
          <xVal>
            <numRef>
              <f>'Фосфат'!$B$14:$B$25</f>
            </numRef>
          </xVal>
          <yVal>
            <numRef>
              <f>'Фосфат'!$C$14:$C$25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Концентрация C, мг/дм3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Площадь пика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Градуировочный график (прохождение через 0): Хлорид-ион</a:t>
            </a:r>
          </a:p>
        </rich>
      </tx>
    </title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trendline>
            <trendlineType val="linear"/>
            <intercept val="0"/>
          </trendline>
          <xVal>
            <numRef>
              <f>'Хлорид'!$B$14:$B$31</f>
            </numRef>
          </xVal>
          <yVal>
            <numRef>
              <f>'Хлорид'!$C$14:$C$31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Концентрация C, мг/дм3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Площадь пика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5" customWidth="1" min="36" max="36"/>
  </cols>
  <sheetData>
    <row r="1"/>
    <row r="2">
      <c r="B2" s="1" t="inlineStr">
        <is>
          <t>Нитрат</t>
        </is>
      </c>
      <c r="H2" s="1" t="inlineStr">
        <is>
          <t>Нитрит</t>
        </is>
      </c>
      <c r="N2" s="1" t="inlineStr">
        <is>
          <t>Сульфат</t>
        </is>
      </c>
      <c r="T2" s="1" t="inlineStr">
        <is>
          <t>Фторид</t>
        </is>
      </c>
      <c r="Z2" s="1" t="inlineStr">
        <is>
          <t>Фосфат</t>
        </is>
      </c>
      <c r="AF2" s="1" t="inlineStr">
        <is>
          <t>Хлорид</t>
        </is>
      </c>
    </row>
    <row r="3"/>
    <row r="4">
      <c r="B4" s="2" t="inlineStr">
        <is>
          <t>Номер</t>
        </is>
      </c>
      <c r="C4" s="2" t="inlineStr">
        <is>
          <t>Время</t>
        </is>
      </c>
      <c r="D4" s="2" t="inlineStr">
        <is>
          <t>Высота</t>
        </is>
      </c>
      <c r="E4" s="2" t="inlineStr">
        <is>
          <t>Площадь</t>
        </is>
      </c>
      <c r="F4" s="2" t="inlineStr">
        <is>
          <t>Концентрация</t>
        </is>
      </c>
      <c r="H4" s="2" t="inlineStr">
        <is>
          <t>Номер</t>
        </is>
      </c>
      <c r="I4" s="2" t="inlineStr">
        <is>
          <t>Время</t>
        </is>
      </c>
      <c r="J4" s="2" t="inlineStr">
        <is>
          <t>Высота</t>
        </is>
      </c>
      <c r="K4" s="2" t="inlineStr">
        <is>
          <t>Площадь</t>
        </is>
      </c>
      <c r="L4" s="2" t="inlineStr">
        <is>
          <t>Концентрация</t>
        </is>
      </c>
      <c r="N4" s="2" t="inlineStr">
        <is>
          <t>Номер</t>
        </is>
      </c>
      <c r="O4" s="2" t="inlineStr">
        <is>
          <t>Время</t>
        </is>
      </c>
      <c r="P4" s="2" t="inlineStr">
        <is>
          <t>Высота</t>
        </is>
      </c>
      <c r="Q4" s="2" t="inlineStr">
        <is>
          <t>Площадь</t>
        </is>
      </c>
      <c r="R4" s="2" t="inlineStr">
        <is>
          <t>Концентрация</t>
        </is>
      </c>
      <c r="T4" s="2" t="inlineStr">
        <is>
          <t>Номер</t>
        </is>
      </c>
      <c r="U4" s="2" t="inlineStr">
        <is>
          <t>Время</t>
        </is>
      </c>
      <c r="V4" s="2" t="inlineStr">
        <is>
          <t>Высота</t>
        </is>
      </c>
      <c r="W4" s="2" t="inlineStr">
        <is>
          <t>Площадь</t>
        </is>
      </c>
      <c r="X4" s="2" t="inlineStr">
        <is>
          <t>Концентрация</t>
        </is>
      </c>
      <c r="Z4" s="2" t="inlineStr">
        <is>
          <t>Номер</t>
        </is>
      </c>
      <c r="AA4" s="2" t="inlineStr">
        <is>
          <t>Время</t>
        </is>
      </c>
      <c r="AB4" s="2" t="inlineStr">
        <is>
          <t>Высота</t>
        </is>
      </c>
      <c r="AC4" s="2" t="inlineStr">
        <is>
          <t>Площадь</t>
        </is>
      </c>
      <c r="AD4" s="2" t="inlineStr">
        <is>
          <t>Концентрация</t>
        </is>
      </c>
      <c r="AF4" s="2" t="inlineStr">
        <is>
          <t>Номер</t>
        </is>
      </c>
      <c r="AG4" s="2" t="inlineStr">
        <is>
          <t>Время</t>
        </is>
      </c>
      <c r="AH4" s="2" t="inlineStr">
        <is>
          <t>Высота</t>
        </is>
      </c>
      <c r="AI4" s="2" t="inlineStr">
        <is>
          <t>Площадь</t>
        </is>
      </c>
      <c r="AJ4" s="2" t="inlineStr">
        <is>
          <t>Концентрация</t>
        </is>
      </c>
    </row>
    <row r="5">
      <c r="B5" s="3" t="n">
        <v>1</v>
      </c>
      <c r="C5" s="4" t="n">
        <v>3.738</v>
      </c>
      <c r="D5" s="4" t="n">
        <v>10.174</v>
      </c>
      <c r="E5" s="5" t="n">
        <v>253.8</v>
      </c>
      <c r="F5" s="6" t="n">
        <v>50</v>
      </c>
      <c r="H5" s="3" t="n">
        <v>1</v>
      </c>
      <c r="I5" s="4" t="n">
        <v>3.485</v>
      </c>
      <c r="J5" s="4" t="n">
        <v>13.919</v>
      </c>
      <c r="K5" s="5" t="n">
        <v>317.9</v>
      </c>
      <c r="L5" s="6" t="n">
        <v>50</v>
      </c>
      <c r="N5" s="3" t="n">
        <v>1</v>
      </c>
      <c r="O5" s="4" t="n">
        <v>3.587</v>
      </c>
      <c r="P5" s="4" t="n">
        <v>53.98</v>
      </c>
      <c r="Q5" s="5" t="n">
        <v>1323.4</v>
      </c>
      <c r="R5" s="6" t="n">
        <v>200</v>
      </c>
      <c r="T5" s="3" t="n">
        <v>1</v>
      </c>
      <c r="U5" s="4" t="n">
        <v>4.067</v>
      </c>
      <c r="V5" s="4" t="n">
        <v>8.75</v>
      </c>
      <c r="W5" s="5" t="n">
        <v>227.1</v>
      </c>
      <c r="X5" s="6" t="n">
        <v>10</v>
      </c>
      <c r="Z5" s="3" t="n">
        <v>1</v>
      </c>
      <c r="AA5" s="4" t="n">
        <v>4.382</v>
      </c>
      <c r="AB5" s="4" t="n">
        <v>9.087999999999999</v>
      </c>
      <c r="AC5" s="5" t="n">
        <v>236.1</v>
      </c>
      <c r="AD5" s="6" t="n">
        <v>25</v>
      </c>
      <c r="AF5" s="3" t="n">
        <v>1</v>
      </c>
      <c r="AG5" s="4" t="n">
        <v>3.382</v>
      </c>
      <c r="AH5" s="4" t="n">
        <v>61.751</v>
      </c>
      <c r="AI5" s="5" t="n">
        <v>1630.2</v>
      </c>
      <c r="AJ5" s="6" t="n">
        <v>200</v>
      </c>
    </row>
    <row r="6">
      <c r="B6" s="3" t="n">
        <v>2</v>
      </c>
      <c r="C6" s="4" t="n">
        <v>3.71</v>
      </c>
      <c r="D6" s="4" t="n">
        <v>10.163</v>
      </c>
      <c r="E6" s="5" t="n">
        <v>252.8</v>
      </c>
      <c r="F6" s="6" t="n">
        <v>50</v>
      </c>
      <c r="H6" s="3" t="n">
        <v>2</v>
      </c>
      <c r="I6" s="4" t="n">
        <v>3.458</v>
      </c>
      <c r="J6" s="4" t="n">
        <v>13.914</v>
      </c>
      <c r="K6" s="5" t="n">
        <v>317</v>
      </c>
      <c r="L6" s="6" t="n">
        <v>50</v>
      </c>
      <c r="N6" s="3" t="n">
        <v>2</v>
      </c>
      <c r="O6" s="4" t="n">
        <v>3.56</v>
      </c>
      <c r="P6" s="4" t="n">
        <v>53.958</v>
      </c>
      <c r="Q6" s="5" t="n">
        <v>1319.6</v>
      </c>
      <c r="R6" s="6" t="n">
        <v>200</v>
      </c>
      <c r="T6" s="3" t="n">
        <v>2</v>
      </c>
      <c r="U6" s="4" t="n">
        <v>4.105</v>
      </c>
      <c r="V6" s="4" t="n">
        <v>8.746</v>
      </c>
      <c r="W6" s="5" t="n">
        <v>228.6</v>
      </c>
      <c r="X6" s="6" t="n">
        <v>10</v>
      </c>
      <c r="Z6" s="3" t="n">
        <v>2</v>
      </c>
      <c r="AA6" s="4" t="n">
        <v>4.425</v>
      </c>
      <c r="AB6" s="4" t="n">
        <v>9.116</v>
      </c>
      <c r="AC6" s="5" t="n">
        <v>241.8</v>
      </c>
      <c r="AD6" s="6" t="n">
        <v>25</v>
      </c>
      <c r="AF6" s="3" t="n">
        <v>2</v>
      </c>
      <c r="AG6" s="4" t="n">
        <v>3.358</v>
      </c>
      <c r="AH6" s="4" t="n">
        <v>61.769</v>
      </c>
      <c r="AI6" s="5" t="n">
        <v>1626.3</v>
      </c>
      <c r="AJ6" s="6" t="n">
        <v>200</v>
      </c>
    </row>
    <row r="7">
      <c r="B7" s="3" t="n">
        <v>3</v>
      </c>
      <c r="C7" s="4" t="n">
        <v>3.724</v>
      </c>
      <c r="D7" s="4" t="n">
        <v>10.177</v>
      </c>
      <c r="E7" s="5" t="n">
        <v>253.5</v>
      </c>
      <c r="F7" s="6" t="n">
        <v>50</v>
      </c>
      <c r="H7" s="3" t="n">
        <v>3</v>
      </c>
      <c r="I7" s="4" t="n">
        <v>3.471</v>
      </c>
      <c r="J7" s="4" t="n">
        <v>13.931</v>
      </c>
      <c r="K7" s="5" t="n">
        <v>317.8</v>
      </c>
      <c r="L7" s="6" t="n">
        <v>50</v>
      </c>
      <c r="N7" s="3" t="n">
        <v>3</v>
      </c>
      <c r="O7" s="4" t="n">
        <v>3.574</v>
      </c>
      <c r="P7" s="4" t="n">
        <v>53.878</v>
      </c>
      <c r="Q7" s="5" t="n">
        <v>1319.3</v>
      </c>
      <c r="R7" s="6" t="n">
        <v>200</v>
      </c>
      <c r="T7" s="3" t="n">
        <v>3</v>
      </c>
      <c r="U7" s="4" t="n">
        <v>4.086</v>
      </c>
      <c r="V7" s="4" t="n">
        <v>8.733000000000001</v>
      </c>
      <c r="W7" s="5" t="n">
        <v>227.5</v>
      </c>
      <c r="X7" s="6" t="n">
        <v>10</v>
      </c>
      <c r="Z7" s="3" t="n">
        <v>3</v>
      </c>
      <c r="AA7" s="4" t="n">
        <v>4.403</v>
      </c>
      <c r="AB7" s="4" t="n">
        <v>9.119</v>
      </c>
      <c r="AC7" s="5" t="n">
        <v>239.4</v>
      </c>
      <c r="AD7" s="6" t="n">
        <v>25</v>
      </c>
      <c r="AF7" s="3" t="n">
        <v>3</v>
      </c>
      <c r="AG7" s="4" t="n">
        <v>3.37</v>
      </c>
      <c r="AH7" s="4" t="n">
        <v>61.929</v>
      </c>
      <c r="AI7" s="5" t="n">
        <v>1632.7</v>
      </c>
      <c r="AJ7" s="6" t="n">
        <v>200</v>
      </c>
    </row>
    <row r="8">
      <c r="B8" s="3" t="n">
        <v>1</v>
      </c>
      <c r="C8" s="4" t="n">
        <v>3.71</v>
      </c>
      <c r="D8" s="4" t="n">
        <v>5.315</v>
      </c>
      <c r="E8" s="5" t="n">
        <v>126.4</v>
      </c>
      <c r="F8" s="6" t="n">
        <v>25</v>
      </c>
      <c r="H8" s="3" t="n">
        <v>1</v>
      </c>
      <c r="I8" s="4" t="n">
        <v>3.403</v>
      </c>
      <c r="J8" s="4" t="n">
        <v>7.528</v>
      </c>
      <c r="K8" s="5" t="n">
        <v>157.8</v>
      </c>
      <c r="L8" s="6" t="n">
        <v>25</v>
      </c>
      <c r="N8" s="3" t="n">
        <v>1</v>
      </c>
      <c r="O8" s="4" t="n">
        <v>3.488</v>
      </c>
      <c r="P8" s="4" t="n">
        <v>29.363</v>
      </c>
      <c r="Q8" s="5" t="n">
        <v>655.8</v>
      </c>
      <c r="R8" s="6" t="n">
        <v>100</v>
      </c>
      <c r="T8" s="3" t="n">
        <v>1</v>
      </c>
      <c r="U8" s="4" t="n">
        <v>4.007</v>
      </c>
      <c r="V8" s="4" t="n">
        <v>4.577</v>
      </c>
      <c r="W8" s="5" t="n">
        <v>113.4</v>
      </c>
      <c r="X8" s="6" t="n">
        <v>5</v>
      </c>
      <c r="Z8" s="3" t="n">
        <v>1</v>
      </c>
      <c r="AA8" s="4" t="n">
        <v>4.292</v>
      </c>
      <c r="AB8" s="4" t="n">
        <v>4.787</v>
      </c>
      <c r="AC8" s="5" t="n">
        <v>120</v>
      </c>
      <c r="AD8" s="6" t="n">
        <v>12.5</v>
      </c>
      <c r="AF8" s="3" t="n">
        <v>1</v>
      </c>
      <c r="AG8" s="4" t="n">
        <v>3.292</v>
      </c>
      <c r="AH8" s="4" t="n">
        <v>32.217</v>
      </c>
      <c r="AI8" s="5" t="n">
        <v>808.5</v>
      </c>
      <c r="AJ8" s="6" t="n">
        <v>100</v>
      </c>
    </row>
    <row r="9">
      <c r="B9" s="3" t="n">
        <v>2</v>
      </c>
      <c r="C9" s="4" t="n">
        <v>3.665</v>
      </c>
      <c r="D9" s="4" t="n">
        <v>5.321</v>
      </c>
      <c r="E9" s="5" t="n">
        <v>126.1</v>
      </c>
      <c r="F9" s="6" t="n">
        <v>25</v>
      </c>
      <c r="H9" s="3" t="n">
        <v>2</v>
      </c>
      <c r="I9" s="4" t="n">
        <v>3.443</v>
      </c>
      <c r="J9" s="4" t="n">
        <v>7.52</v>
      </c>
      <c r="K9" s="5" t="n">
        <v>158</v>
      </c>
      <c r="L9" s="6" t="n">
        <v>25</v>
      </c>
      <c r="N9" s="3" t="n">
        <v>2</v>
      </c>
      <c r="O9" s="4" t="n">
        <v>3.53</v>
      </c>
      <c r="P9" s="4" t="n">
        <v>29.36</v>
      </c>
      <c r="Q9" s="5" t="n">
        <v>656.8</v>
      </c>
      <c r="R9" s="6" t="n">
        <v>100</v>
      </c>
      <c r="T9" s="3" t="n">
        <v>2</v>
      </c>
      <c r="U9" s="4" t="n">
        <v>4.063</v>
      </c>
      <c r="V9" s="4" t="n">
        <v>4.566</v>
      </c>
      <c r="W9" s="5" t="n">
        <v>112.5</v>
      </c>
      <c r="X9" s="6" t="n">
        <v>5</v>
      </c>
      <c r="Z9" s="3" t="n">
        <v>2</v>
      </c>
      <c r="AA9" s="4" t="n">
        <v>4.357</v>
      </c>
      <c r="AB9" s="4" t="n">
        <v>4.789</v>
      </c>
      <c r="AC9" s="5" t="n">
        <v>119.9</v>
      </c>
      <c r="AD9" s="6" t="n">
        <v>12.5</v>
      </c>
      <c r="AF9" s="3" t="n">
        <v>2</v>
      </c>
      <c r="AG9" s="4" t="n">
        <v>3.328</v>
      </c>
      <c r="AH9" s="4" t="n">
        <v>32.166</v>
      </c>
      <c r="AI9" s="5" t="n">
        <v>809.3</v>
      </c>
      <c r="AJ9" s="6" t="n">
        <v>100</v>
      </c>
    </row>
    <row r="10">
      <c r="B10" s="3" t="n">
        <v>3</v>
      </c>
      <c r="C10" s="4" t="n">
        <v>3.688</v>
      </c>
      <c r="D10" s="4" t="n">
        <v>5.303</v>
      </c>
      <c r="E10" s="5" t="n">
        <v>125.9</v>
      </c>
      <c r="F10" s="6" t="n">
        <v>25</v>
      </c>
      <c r="H10" s="3" t="n">
        <v>3</v>
      </c>
      <c r="I10" s="4" t="n">
        <v>3.423</v>
      </c>
      <c r="J10" s="4" t="n">
        <v>7.542</v>
      </c>
      <c r="K10" s="5" t="n">
        <v>158.3</v>
      </c>
      <c r="L10" s="6" t="n">
        <v>25</v>
      </c>
      <c r="N10" s="3" t="n">
        <v>3</v>
      </c>
      <c r="O10" s="4" t="n">
        <v>3.509</v>
      </c>
      <c r="P10" s="4" t="n">
        <v>29.362</v>
      </c>
      <c r="Q10" s="5" t="n">
        <v>656.3</v>
      </c>
      <c r="R10" s="6" t="n">
        <v>100</v>
      </c>
      <c r="T10" s="3" t="n">
        <v>3</v>
      </c>
      <c r="U10" s="4" t="n">
        <v>4.035</v>
      </c>
      <c r="V10" s="4" t="n">
        <v>4.574</v>
      </c>
      <c r="W10" s="5" t="n">
        <v>113</v>
      </c>
      <c r="X10" s="6" t="n">
        <v>5</v>
      </c>
      <c r="Z10" s="3" t="n">
        <v>3</v>
      </c>
      <c r="AA10" s="4" t="n">
        <v>4.325</v>
      </c>
      <c r="AB10" s="4" t="n">
        <v>4.794</v>
      </c>
      <c r="AC10" s="5" t="n">
        <v>120.1</v>
      </c>
      <c r="AD10" s="6" t="n">
        <v>12.5</v>
      </c>
      <c r="AF10" s="3" t="n">
        <v>3</v>
      </c>
      <c r="AG10" s="4" t="n">
        <v>3.31</v>
      </c>
      <c r="AH10" s="4" t="n">
        <v>32.16</v>
      </c>
      <c r="AI10" s="5" t="n">
        <v>808.1</v>
      </c>
      <c r="AJ10" s="6" t="n">
        <v>100</v>
      </c>
    </row>
    <row r="11">
      <c r="B11" s="3" t="n">
        <v>1</v>
      </c>
      <c r="C11" s="4" t="n">
        <v>3.847</v>
      </c>
      <c r="D11" s="4" t="n">
        <v>1.393</v>
      </c>
      <c r="E11" s="5" t="n">
        <v>29.3</v>
      </c>
      <c r="F11" s="6" t="n">
        <v>5</v>
      </c>
      <c r="H11" s="3" t="n">
        <v>1</v>
      </c>
      <c r="I11" s="4" t="n">
        <v>3.533</v>
      </c>
      <c r="J11" s="4" t="n">
        <v>2.022</v>
      </c>
      <c r="K11" s="5" t="n">
        <v>36.3</v>
      </c>
      <c r="L11" s="6" t="n">
        <v>5</v>
      </c>
      <c r="N11" s="3" t="n">
        <v>1</v>
      </c>
      <c r="O11" s="4" t="n">
        <v>3.628</v>
      </c>
      <c r="P11" s="4" t="n">
        <v>8.682</v>
      </c>
      <c r="Q11" s="5" t="n">
        <v>150.6</v>
      </c>
      <c r="R11" s="6" t="n">
        <v>20</v>
      </c>
      <c r="T11" s="3" t="n">
        <v>1</v>
      </c>
      <c r="U11" s="4" t="n">
        <v>4.208</v>
      </c>
      <c r="V11" s="4" t="n">
        <v>1.147</v>
      </c>
      <c r="W11" s="5" t="n">
        <v>26.3</v>
      </c>
      <c r="X11" s="6" t="n">
        <v>1</v>
      </c>
      <c r="Z11" s="3" t="n">
        <v>1</v>
      </c>
      <c r="AA11" s="4" t="n">
        <v>4.513</v>
      </c>
      <c r="AB11" s="4" t="n">
        <v>1.224</v>
      </c>
      <c r="AC11" s="5" t="n">
        <v>28.1</v>
      </c>
      <c r="AD11" s="6" t="n">
        <v>2.5</v>
      </c>
      <c r="AF11" s="3" t="n">
        <v>1</v>
      </c>
      <c r="AG11" s="4" t="n">
        <v>3.407</v>
      </c>
      <c r="AH11" s="4" t="n">
        <v>8.157</v>
      </c>
      <c r="AI11" s="5" t="n">
        <v>185.7</v>
      </c>
      <c r="AJ11" s="6" t="n">
        <v>20</v>
      </c>
    </row>
    <row r="12">
      <c r="B12" s="3" t="n">
        <v>2</v>
      </c>
      <c r="C12" s="4" t="n">
        <v>3.83</v>
      </c>
      <c r="D12" s="4" t="n">
        <v>1.395</v>
      </c>
      <c r="E12" s="5" t="n">
        <v>29.3</v>
      </c>
      <c r="F12" s="6" t="n">
        <v>5</v>
      </c>
      <c r="H12" s="3" t="n">
        <v>2</v>
      </c>
      <c r="I12" s="4" t="n">
        <v>3.548</v>
      </c>
      <c r="J12" s="4" t="n">
        <v>2.014</v>
      </c>
      <c r="K12" s="5" t="n">
        <v>36.4</v>
      </c>
      <c r="L12" s="6" t="n">
        <v>5</v>
      </c>
      <c r="N12" s="3" t="n">
        <v>2</v>
      </c>
      <c r="O12" s="4" t="n">
        <v>3.612</v>
      </c>
      <c r="P12" s="4" t="n">
        <v>8.651</v>
      </c>
      <c r="Q12" s="5" t="n">
        <v>150.6</v>
      </c>
      <c r="R12" s="6" t="n">
        <v>20</v>
      </c>
      <c r="T12" s="3" t="n">
        <v>2</v>
      </c>
      <c r="U12" s="4" t="n">
        <v>4.23</v>
      </c>
      <c r="V12" s="4" t="n">
        <v>1.142</v>
      </c>
      <c r="W12" s="5" t="n">
        <v>26.4</v>
      </c>
      <c r="X12" s="6" t="n">
        <v>1</v>
      </c>
      <c r="Z12" s="3" t="n">
        <v>2</v>
      </c>
      <c r="AA12" s="4" t="n">
        <v>4.54</v>
      </c>
      <c r="AB12" s="4" t="n">
        <v>1.221</v>
      </c>
      <c r="AC12" s="5" t="n">
        <v>28.1</v>
      </c>
      <c r="AD12" s="6" t="n">
        <v>2.5</v>
      </c>
      <c r="AF12" s="3" t="n">
        <v>2</v>
      </c>
      <c r="AG12" s="4" t="n">
        <v>3.393</v>
      </c>
      <c r="AH12" s="4" t="n">
        <v>8.169</v>
      </c>
      <c r="AI12" s="5" t="n">
        <v>185.6</v>
      </c>
      <c r="AJ12" s="6" t="n">
        <v>20</v>
      </c>
    </row>
    <row r="13">
      <c r="B13" s="3" t="n">
        <v>3</v>
      </c>
      <c r="C13" s="4" t="n">
        <v>3.838</v>
      </c>
      <c r="D13" s="4" t="n">
        <v>1.392</v>
      </c>
      <c r="E13" s="5" t="n">
        <v>29.3</v>
      </c>
      <c r="F13" s="6" t="n">
        <v>5</v>
      </c>
      <c r="H13" s="3" t="n">
        <v>3</v>
      </c>
      <c r="I13" s="4" t="n">
        <v>3.54</v>
      </c>
      <c r="J13" s="4" t="n">
        <v>2.013</v>
      </c>
      <c r="K13" s="5" t="n">
        <v>36.3</v>
      </c>
      <c r="L13" s="6" t="n">
        <v>5</v>
      </c>
      <c r="N13" s="3" t="n">
        <v>3</v>
      </c>
      <c r="O13" s="4" t="n">
        <v>3.62</v>
      </c>
      <c r="P13" s="4" t="n">
        <v>8.641999999999999</v>
      </c>
      <c r="Q13" s="5" t="n">
        <v>150.2</v>
      </c>
      <c r="R13" s="6" t="n">
        <v>20</v>
      </c>
      <c r="T13" s="3" t="n">
        <v>3</v>
      </c>
      <c r="U13" s="4" t="n">
        <v>4.219</v>
      </c>
      <c r="V13" s="4" t="n">
        <v>1.147</v>
      </c>
      <c r="W13" s="5" t="n">
        <v>26.4</v>
      </c>
      <c r="X13" s="6" t="n">
        <v>1</v>
      </c>
      <c r="Z13" s="3" t="n">
        <v>3</v>
      </c>
      <c r="AA13" s="4" t="n">
        <v>4.527</v>
      </c>
      <c r="AB13" s="4" t="n">
        <v>1.221</v>
      </c>
      <c r="AC13" s="5" t="n">
        <v>28.1</v>
      </c>
      <c r="AD13" s="6" t="n">
        <v>2.5</v>
      </c>
      <c r="AF13" s="3" t="n">
        <v>3</v>
      </c>
      <c r="AG13" s="4" t="n">
        <v>3.4</v>
      </c>
      <c r="AH13" s="4" t="n">
        <v>8.143000000000001</v>
      </c>
      <c r="AI13" s="5" t="n">
        <v>185.2</v>
      </c>
      <c r="AJ13" s="6" t="n">
        <v>20</v>
      </c>
    </row>
    <row r="14">
      <c r="B14" s="3" t="n">
        <v>1</v>
      </c>
      <c r="C14" s="4" t="n">
        <v>3.84</v>
      </c>
      <c r="D14" s="4" t="n">
        <v>0.135</v>
      </c>
      <c r="E14" s="5" t="n">
        <v>2.8</v>
      </c>
      <c r="F14" s="6" t="n">
        <v>0.5</v>
      </c>
      <c r="H14" s="3" t="n">
        <v>1</v>
      </c>
      <c r="I14" s="4" t="n">
        <v>3.535</v>
      </c>
      <c r="J14" s="4" t="n">
        <v>0.16</v>
      </c>
      <c r="K14" s="5" t="n">
        <v>3.2</v>
      </c>
      <c r="L14" s="6" t="n">
        <v>0.5</v>
      </c>
      <c r="N14" s="3" t="n">
        <v>1</v>
      </c>
      <c r="O14" s="4" t="n">
        <v>3.615</v>
      </c>
      <c r="P14" s="4" t="n">
        <v>0.627</v>
      </c>
      <c r="Q14" s="5" t="n">
        <v>13.4</v>
      </c>
      <c r="R14" s="6" t="n">
        <v>2</v>
      </c>
      <c r="T14" s="3" t="n">
        <v>1</v>
      </c>
      <c r="U14" s="4" t="n">
        <v>4.24</v>
      </c>
      <c r="V14" s="4" t="n">
        <v>0.096</v>
      </c>
      <c r="W14" s="5" t="n">
        <v>2.1</v>
      </c>
      <c r="X14" s="6" t="n">
        <v>0.1</v>
      </c>
      <c r="Z14" s="3" t="n">
        <v>1</v>
      </c>
      <c r="AA14" s="4" t="n">
        <v>4.552</v>
      </c>
      <c r="AB14" s="4" t="n">
        <v>0.116</v>
      </c>
      <c r="AC14" s="5" t="n">
        <v>2.5</v>
      </c>
      <c r="AD14" s="6" t="n">
        <v>0.25</v>
      </c>
      <c r="AF14" s="3" t="n">
        <v>1</v>
      </c>
      <c r="AG14" s="4" t="n">
        <v>3.368</v>
      </c>
      <c r="AH14" s="4" t="n">
        <v>0.841</v>
      </c>
      <c r="AI14" s="5" t="n">
        <v>16.8</v>
      </c>
      <c r="AJ14" s="6" t="n">
        <v>2</v>
      </c>
    </row>
    <row r="15">
      <c r="B15" s="3" t="n">
        <v>2</v>
      </c>
      <c r="C15" s="4" t="n">
        <v>3.84</v>
      </c>
      <c r="D15" s="4" t="n">
        <v>0.128</v>
      </c>
      <c r="E15" s="5" t="n">
        <v>2.6</v>
      </c>
      <c r="F15" s="6" t="n">
        <v>0.5</v>
      </c>
      <c r="H15" s="3" t="n">
        <v>2</v>
      </c>
      <c r="I15" s="4" t="n">
        <v>3.535</v>
      </c>
      <c r="J15" s="4" t="n">
        <v>0.159</v>
      </c>
      <c r="K15" s="5" t="n">
        <v>3.2</v>
      </c>
      <c r="L15" s="6" t="n">
        <v>0.5</v>
      </c>
      <c r="N15" s="3" t="n">
        <v>2</v>
      </c>
      <c r="O15" s="4" t="n">
        <v>3.617</v>
      </c>
      <c r="P15" s="4" t="n">
        <v>0.715</v>
      </c>
      <c r="Q15" s="5" t="n">
        <v>13.4</v>
      </c>
      <c r="R15" s="6" t="n">
        <v>2</v>
      </c>
      <c r="T15" s="3" t="n">
        <v>2</v>
      </c>
      <c r="U15" s="4" t="n">
        <v>4.242</v>
      </c>
      <c r="V15" s="4" t="n">
        <v>0.091</v>
      </c>
      <c r="W15" s="5" t="n">
        <v>2.1</v>
      </c>
      <c r="X15" s="6" t="n">
        <v>0.1</v>
      </c>
      <c r="Z15" s="3" t="n">
        <v>2</v>
      </c>
      <c r="AA15" s="4" t="n">
        <v>4.553</v>
      </c>
      <c r="AB15" s="4" t="n">
        <v>0.146</v>
      </c>
      <c r="AC15" s="5" t="n">
        <v>2.9</v>
      </c>
      <c r="AD15" s="6" t="n">
        <v>0.25</v>
      </c>
      <c r="AF15" s="3" t="n">
        <v>2</v>
      </c>
      <c r="AG15" s="4" t="n">
        <v>3.37</v>
      </c>
      <c r="AH15" s="4" t="n">
        <v>0.923</v>
      </c>
      <c r="AI15" s="5" t="n">
        <v>17.7</v>
      </c>
      <c r="AJ15" s="6" t="n">
        <v>2</v>
      </c>
    </row>
    <row r="16">
      <c r="B16" s="3" t="n">
        <v>3</v>
      </c>
      <c r="C16" s="4" t="n">
        <v>3.84</v>
      </c>
      <c r="D16" s="4" t="n">
        <v>0.131</v>
      </c>
      <c r="E16" s="5" t="n">
        <v>2.7</v>
      </c>
      <c r="F16" s="6" t="n">
        <v>0.5</v>
      </c>
      <c r="H16" s="3" t="n">
        <v>3</v>
      </c>
      <c r="I16" s="4" t="n">
        <v>3.535</v>
      </c>
      <c r="J16" s="4" t="n">
        <v>0.159</v>
      </c>
      <c r="K16" s="5" t="n">
        <v>3.2</v>
      </c>
      <c r="L16" s="6" t="n">
        <v>0.5</v>
      </c>
      <c r="N16" s="3" t="n">
        <v>3</v>
      </c>
      <c r="O16" s="4" t="n">
        <v>3.616</v>
      </c>
      <c r="P16" s="4" t="n">
        <v>0.67</v>
      </c>
      <c r="Q16" s="5" t="n">
        <v>13.4</v>
      </c>
      <c r="R16" s="6" t="n">
        <v>2</v>
      </c>
      <c r="T16" s="3" t="n">
        <v>3</v>
      </c>
      <c r="U16" s="4" t="n">
        <v>4.241</v>
      </c>
      <c r="V16" s="4" t="n">
        <v>0.093</v>
      </c>
      <c r="W16" s="5" t="n">
        <v>2.1</v>
      </c>
      <c r="X16" s="6" t="n">
        <v>0.1</v>
      </c>
      <c r="Z16" s="3" t="n">
        <v>3</v>
      </c>
      <c r="AA16" s="4" t="n">
        <v>4.553</v>
      </c>
      <c r="AB16" s="4" t="n">
        <v>0.131</v>
      </c>
      <c r="AC16" s="5" t="n">
        <v>2.7</v>
      </c>
      <c r="AD16" s="6" t="n">
        <v>0.25</v>
      </c>
      <c r="AF16" s="3" t="n">
        <v>3</v>
      </c>
      <c r="AG16" s="4" t="n">
        <v>3.369</v>
      </c>
      <c r="AH16" s="4" t="n">
        <v>0.88</v>
      </c>
      <c r="AI16" s="5" t="n">
        <v>17.2</v>
      </c>
      <c r="AJ16" s="6" t="n">
        <v>2</v>
      </c>
    </row>
    <row r="17">
      <c r="B17" s="3" t="n">
        <v>1</v>
      </c>
      <c r="C17" s="4" t="n">
        <v>3.84</v>
      </c>
      <c r="D17" s="4" t="n">
        <v>0.048</v>
      </c>
      <c r="E17" s="5" t="n">
        <v>1</v>
      </c>
      <c r="F17" s="6" t="n">
        <v>0.2</v>
      </c>
      <c r="H17" s="3" t="n">
        <v>1</v>
      </c>
      <c r="I17" s="4" t="n">
        <v>3.535</v>
      </c>
      <c r="J17" s="4" t="n">
        <v>0.063</v>
      </c>
      <c r="K17" s="5" t="n">
        <v>1.3</v>
      </c>
      <c r="L17" s="6" t="n">
        <v>0.2</v>
      </c>
      <c r="N17" s="3" t="n">
        <v>1</v>
      </c>
      <c r="O17" s="4" t="n">
        <v>3.612</v>
      </c>
      <c r="P17" s="4" t="n">
        <v>0.289</v>
      </c>
      <c r="Q17" s="5" t="n">
        <v>5.4</v>
      </c>
      <c r="R17" s="6" t="n">
        <v>0.8</v>
      </c>
      <c r="AF17" s="3" t="n">
        <v>1</v>
      </c>
      <c r="AG17" s="4" t="n">
        <v>3.367</v>
      </c>
      <c r="AH17" s="4" t="n">
        <v>0.271</v>
      </c>
      <c r="AI17" s="5" t="n">
        <v>6.5</v>
      </c>
      <c r="AJ17" s="6" t="n">
        <v>0.8</v>
      </c>
    </row>
    <row r="18">
      <c r="B18" s="3" t="n">
        <v>2</v>
      </c>
      <c r="C18" s="4" t="n">
        <v>3.835</v>
      </c>
      <c r="D18" s="4" t="n">
        <v>0.049</v>
      </c>
      <c r="E18" s="5" t="n">
        <v>1</v>
      </c>
      <c r="F18" s="6" t="n">
        <v>0.2</v>
      </c>
      <c r="H18" s="3" t="n">
        <v>2</v>
      </c>
      <c r="I18" s="4" t="n">
        <v>3.53</v>
      </c>
      <c r="J18" s="4" t="n">
        <v>0.059</v>
      </c>
      <c r="K18" s="5" t="n">
        <v>1.3</v>
      </c>
      <c r="L18" s="6" t="n">
        <v>0.2</v>
      </c>
      <c r="N18" s="3" t="n">
        <v>2</v>
      </c>
      <c r="O18" s="4" t="n">
        <v>3.617</v>
      </c>
      <c r="P18" s="4" t="n">
        <v>0.276</v>
      </c>
      <c r="Q18" s="5" t="n">
        <v>5.3</v>
      </c>
      <c r="R18" s="6" t="n">
        <v>0.8</v>
      </c>
      <c r="AF18" s="3" t="n">
        <v>2</v>
      </c>
      <c r="AG18" s="4" t="n">
        <v>3.363</v>
      </c>
      <c r="AH18" s="4" t="n">
        <v>0.376</v>
      </c>
      <c r="AI18" s="5" t="n">
        <v>7.1</v>
      </c>
      <c r="AJ18" s="6" t="n">
        <v>0.8</v>
      </c>
    </row>
    <row r="19">
      <c r="B19" s="3" t="n">
        <v>3</v>
      </c>
      <c r="C19" s="4" t="n">
        <v>3.837</v>
      </c>
      <c r="D19" s="4" t="n">
        <v>0.049</v>
      </c>
      <c r="E19" s="5" t="n">
        <v>1</v>
      </c>
      <c r="F19" s="6" t="n">
        <v>0.2</v>
      </c>
      <c r="H19" s="3" t="n">
        <v>3</v>
      </c>
      <c r="I19" s="4" t="n">
        <v>3.532</v>
      </c>
      <c r="J19" s="4" t="n">
        <v>0.061</v>
      </c>
      <c r="K19" s="5" t="n">
        <v>1.3</v>
      </c>
      <c r="L19" s="6" t="n">
        <v>0.2</v>
      </c>
      <c r="N19" s="3" t="n">
        <v>3</v>
      </c>
      <c r="O19" s="4" t="n">
        <v>3.615</v>
      </c>
      <c r="P19" s="4" t="n">
        <v>0.283</v>
      </c>
      <c r="Q19" s="5" t="n">
        <v>5.4</v>
      </c>
      <c r="R19" s="6" t="n">
        <v>0.8</v>
      </c>
      <c r="AF19" s="3" t="n">
        <v>3</v>
      </c>
      <c r="AG19" s="4" t="n">
        <v>3.365</v>
      </c>
      <c r="AH19" s="4" t="n">
        <v>0.324</v>
      </c>
      <c r="AI19" s="5" t="n">
        <v>6.8</v>
      </c>
      <c r="AJ19" s="6" t="n">
        <v>0.8</v>
      </c>
    </row>
    <row r="20">
      <c r="N20" s="3" t="n">
        <v>1</v>
      </c>
      <c r="O20" s="4" t="n">
        <v>3.622</v>
      </c>
      <c r="P20" s="4" t="n">
        <v>0.177</v>
      </c>
      <c r="Q20" s="5" t="n">
        <v>3.4</v>
      </c>
      <c r="R20" s="6" t="n">
        <v>0.5</v>
      </c>
      <c r="AF20" s="3" t="n">
        <v>1</v>
      </c>
      <c r="AG20" s="4" t="n">
        <v>3.367</v>
      </c>
      <c r="AH20" s="4" t="n">
        <v>0.197</v>
      </c>
      <c r="AI20" s="5" t="n">
        <v>4.1</v>
      </c>
      <c r="AJ20" s="6" t="n">
        <v>0.5</v>
      </c>
    </row>
    <row r="21">
      <c r="N21" s="3" t="n">
        <v>2</v>
      </c>
      <c r="O21" s="4" t="n">
        <v>3.617</v>
      </c>
      <c r="P21" s="4" t="n">
        <v>0.17</v>
      </c>
      <c r="Q21" s="5" t="n">
        <v>3.3</v>
      </c>
      <c r="R21" s="6" t="n">
        <v>0.5</v>
      </c>
      <c r="AF21" s="3" t="n">
        <v>2</v>
      </c>
      <c r="AG21" s="4" t="n">
        <v>3.37</v>
      </c>
      <c r="AH21" s="4" t="n">
        <v>0.227</v>
      </c>
      <c r="AI21" s="5" t="n">
        <v>4.4</v>
      </c>
      <c r="AJ21" s="6" t="n">
        <v>0.5</v>
      </c>
    </row>
    <row r="22">
      <c r="N22" s="3" t="n">
        <v>3</v>
      </c>
      <c r="O22" s="4" t="n">
        <v>3.619</v>
      </c>
      <c r="P22" s="4" t="n">
        <v>0.174</v>
      </c>
      <c r="Q22" s="5" t="n">
        <v>3.4</v>
      </c>
      <c r="R22" s="6" t="n">
        <v>0.5</v>
      </c>
      <c r="AF22" s="3" t="n">
        <v>3</v>
      </c>
      <c r="AG22" s="4" t="n">
        <v>3.369</v>
      </c>
      <c r="AH22" s="4" t="n">
        <v>0.212</v>
      </c>
      <c r="AI22" s="5" t="n">
        <v>4.3</v>
      </c>
      <c r="AJ22" s="6" t="n">
        <v>0.5</v>
      </c>
    </row>
  </sheetData>
  <mergeCells count="6">
    <mergeCell ref="H2:L2"/>
    <mergeCell ref="B2:F2"/>
    <mergeCell ref="T2:X2"/>
    <mergeCell ref="Z2:AD2"/>
    <mergeCell ref="N2:R2"/>
    <mergeCell ref="AF2:A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26" customWidth="1" min="3" max="3"/>
    <col width="25" customWidth="1" min="4" max="4"/>
    <col width="25" customWidth="1" min="5" max="5"/>
    <col width="20" customWidth="1" min="6" max="6"/>
    <col width="38" customWidth="1" min="7" max="7"/>
  </cols>
  <sheetData>
    <row r="1"/>
    <row r="2">
      <c r="B2" s="7" t="inlineStr">
        <is>
          <t>Метрологическая обработка: Нитрат-ион (модель S = k*C, R ~ 0.999x)</t>
        </is>
      </c>
    </row>
    <row r="3"/>
    <row r="4">
      <c r="B4" s="8" t="inlineStr">
        <is>
          <t>Сводная таблица параллельных определений</t>
        </is>
      </c>
    </row>
    <row r="5">
      <c r="B5" s="2" t="inlineStr">
        <is>
          <t>C, мг/дм3</t>
        </is>
      </c>
      <c r="C5" s="2" t="inlineStr">
        <is>
          <t>S1</t>
        </is>
      </c>
      <c r="D5" s="2" t="inlineStr">
        <is>
          <t>S2</t>
        </is>
      </c>
      <c r="E5" s="2" t="inlineStr">
        <is>
          <t>S3</t>
        </is>
      </c>
      <c r="F5" s="2" t="inlineStr">
        <is>
          <t>Sср</t>
        </is>
      </c>
      <c r="G5" s="2" t="inlineStr">
        <is>
          <t>t_m ср, мин</t>
        </is>
      </c>
    </row>
    <row r="6">
      <c r="B6" s="6">
        <f>'Исходные данные'!F5</f>
        <v/>
      </c>
      <c r="C6" s="9">
        <f>'Исходные данные'!E5</f>
        <v/>
      </c>
      <c r="D6" s="9">
        <f>'Исходные данные'!E6</f>
        <v/>
      </c>
      <c r="E6" s="9">
        <f>'Исходные данные'!E7</f>
        <v/>
      </c>
      <c r="F6" s="9">
        <f>AVERAGE(C6:E6)</f>
        <v/>
      </c>
      <c r="G6" s="10">
        <f>AVERAGE('Исходные данные'!C5:C7)</f>
        <v/>
      </c>
    </row>
    <row r="7">
      <c r="B7" s="6">
        <f>'Исходные данные'!F8</f>
        <v/>
      </c>
      <c r="C7" s="9">
        <f>'Исходные данные'!E8</f>
        <v/>
      </c>
      <c r="D7" s="9">
        <f>'Исходные данные'!E9</f>
        <v/>
      </c>
      <c r="E7" s="9">
        <f>'Исходные данные'!E10</f>
        <v/>
      </c>
      <c r="F7" s="9">
        <f>AVERAGE(C7:E7)</f>
        <v/>
      </c>
      <c r="G7" s="10">
        <f>AVERAGE('Исходные данные'!C8:C10)</f>
        <v/>
      </c>
    </row>
    <row r="8">
      <c r="B8" s="6">
        <f>'Исходные данные'!F11</f>
        <v/>
      </c>
      <c r="C8" s="9">
        <f>'Исходные данные'!E11</f>
        <v/>
      </c>
      <c r="D8" s="9">
        <f>'Исходные данные'!E12</f>
        <v/>
      </c>
      <c r="E8" s="9">
        <f>'Исходные данные'!E13</f>
        <v/>
      </c>
      <c r="F8" s="9">
        <f>AVERAGE(C8:E8)</f>
        <v/>
      </c>
      <c r="G8" s="10">
        <f>AVERAGE('Исходные данные'!C11:C13)</f>
        <v/>
      </c>
    </row>
    <row r="9">
      <c r="B9" s="6">
        <f>'Исходные данные'!F14</f>
        <v/>
      </c>
      <c r="C9" s="9">
        <f>'Исходные данные'!E14</f>
        <v/>
      </c>
      <c r="D9" s="9">
        <f>'Исходные данные'!E15</f>
        <v/>
      </c>
      <c r="E9" s="9">
        <f>'Исходные данные'!E16</f>
        <v/>
      </c>
      <c r="F9" s="9">
        <f>AVERAGE(C9:E9)</f>
        <v/>
      </c>
      <c r="G9" s="10">
        <f>AVERAGE('Исходные данные'!C14:C16)</f>
        <v/>
      </c>
    </row>
    <row r="10">
      <c r="B10" s="6">
        <f>'Исходные данные'!F17</f>
        <v/>
      </c>
      <c r="C10" s="9">
        <f>'Исходные данные'!E17</f>
        <v/>
      </c>
      <c r="D10" s="9">
        <f>'Исходные данные'!E18</f>
        <v/>
      </c>
      <c r="E10" s="9">
        <f>'Исходные данные'!E19</f>
        <v/>
      </c>
      <c r="F10" s="9">
        <f>AVERAGE(C10:E10)</f>
        <v/>
      </c>
      <c r="G10" s="10">
        <f>AVERAGE('Исходные данные'!C17:C19)</f>
        <v/>
      </c>
    </row>
    <row r="11"/>
    <row r="12">
      <c r="B12" s="8" t="inlineStr">
        <is>
          <t>Расчет параметров калибровочной прямой методом наименьших квадратов (МНК, модель S = k*C)</t>
        </is>
      </c>
    </row>
    <row r="13">
      <c r="B13" s="2" t="inlineStr">
        <is>
          <t>C (xi)</t>
        </is>
      </c>
      <c r="C13" s="2" t="inlineStr">
        <is>
          <t>S (yi)</t>
        </is>
      </c>
      <c r="D13" s="2" t="inlineStr">
        <is>
          <t>C^2 (xi^2)</t>
        </is>
      </c>
      <c r="E13" s="2" t="inlineStr">
        <is>
          <t>C*S (xi*yi)</t>
        </is>
      </c>
      <c r="F13" s="2" t="inlineStr">
        <is>
          <t>S_расч (y_расч)</t>
        </is>
      </c>
      <c r="G13" s="2" t="inlineStr">
        <is>
          <t>(yi-y_расч)^2</t>
        </is>
      </c>
    </row>
    <row r="14">
      <c r="B14" s="6">
        <f>$B$6</f>
        <v/>
      </c>
      <c r="C14" s="5">
        <f>$C$6</f>
        <v/>
      </c>
      <c r="D14" s="5">
        <f>B14^2</f>
        <v/>
      </c>
      <c r="E14" s="5">
        <f>B14*C14</f>
        <v/>
      </c>
      <c r="F14" s="5">
        <f>B14*$C$32</f>
        <v/>
      </c>
      <c r="G14" s="11">
        <f>(C14-F14)^2</f>
        <v/>
      </c>
    </row>
    <row r="15">
      <c r="B15" s="6">
        <f>$B$6</f>
        <v/>
      </c>
      <c r="C15" s="5">
        <f>$D$6</f>
        <v/>
      </c>
      <c r="D15" s="5">
        <f>B15^2</f>
        <v/>
      </c>
      <c r="E15" s="5">
        <f>B15*C15</f>
        <v/>
      </c>
      <c r="F15" s="5">
        <f>B15*$C$32</f>
        <v/>
      </c>
      <c r="G15" s="11">
        <f>(C15-F15)^2</f>
        <v/>
      </c>
    </row>
    <row r="16">
      <c r="B16" s="6">
        <f>$B$6</f>
        <v/>
      </c>
      <c r="C16" s="5">
        <f>$E$6</f>
        <v/>
      </c>
      <c r="D16" s="5">
        <f>B16^2</f>
        <v/>
      </c>
      <c r="E16" s="5">
        <f>B16*C16</f>
        <v/>
      </c>
      <c r="F16" s="5">
        <f>B16*$C$32</f>
        <v/>
      </c>
      <c r="G16" s="11">
        <f>(C16-F16)^2</f>
        <v/>
      </c>
    </row>
    <row r="17">
      <c r="B17" s="6">
        <f>$B$7</f>
        <v/>
      </c>
      <c r="C17" s="5">
        <f>$C$7</f>
        <v/>
      </c>
      <c r="D17" s="5">
        <f>B17^2</f>
        <v/>
      </c>
      <c r="E17" s="5">
        <f>B17*C17</f>
        <v/>
      </c>
      <c r="F17" s="5">
        <f>B17*$C$32</f>
        <v/>
      </c>
      <c r="G17" s="11">
        <f>(C17-F17)^2</f>
        <v/>
      </c>
    </row>
    <row r="18">
      <c r="B18" s="6">
        <f>$B$7</f>
        <v/>
      </c>
      <c r="C18" s="5">
        <f>$D$7</f>
        <v/>
      </c>
      <c r="D18" s="5">
        <f>B18^2</f>
        <v/>
      </c>
      <c r="E18" s="5">
        <f>B18*C18</f>
        <v/>
      </c>
      <c r="F18" s="5">
        <f>B18*$C$32</f>
        <v/>
      </c>
      <c r="G18" s="11">
        <f>(C18-F18)^2</f>
        <v/>
      </c>
    </row>
    <row r="19">
      <c r="B19" s="6">
        <f>$B$7</f>
        <v/>
      </c>
      <c r="C19" s="5">
        <f>$E$7</f>
        <v/>
      </c>
      <c r="D19" s="5">
        <f>B19^2</f>
        <v/>
      </c>
      <c r="E19" s="5">
        <f>B19*C19</f>
        <v/>
      </c>
      <c r="F19" s="5">
        <f>B19*$C$32</f>
        <v/>
      </c>
      <c r="G19" s="11">
        <f>(C19-F19)^2</f>
        <v/>
      </c>
    </row>
    <row r="20">
      <c r="B20" s="6">
        <f>$B$8</f>
        <v/>
      </c>
      <c r="C20" s="5">
        <f>$C$8</f>
        <v/>
      </c>
      <c r="D20" s="5">
        <f>B20^2</f>
        <v/>
      </c>
      <c r="E20" s="5">
        <f>B20*C20</f>
        <v/>
      </c>
      <c r="F20" s="5">
        <f>B20*$C$32</f>
        <v/>
      </c>
      <c r="G20" s="11">
        <f>(C20-F20)^2</f>
        <v/>
      </c>
    </row>
    <row r="21">
      <c r="B21" s="6">
        <f>$B$8</f>
        <v/>
      </c>
      <c r="C21" s="5">
        <f>$D$8</f>
        <v/>
      </c>
      <c r="D21" s="5">
        <f>B21^2</f>
        <v/>
      </c>
      <c r="E21" s="5">
        <f>B21*C21</f>
        <v/>
      </c>
      <c r="F21" s="5">
        <f>B21*$C$32</f>
        <v/>
      </c>
      <c r="G21" s="11">
        <f>(C21-F21)^2</f>
        <v/>
      </c>
    </row>
    <row r="22">
      <c r="B22" s="6">
        <f>$B$8</f>
        <v/>
      </c>
      <c r="C22" s="5">
        <f>$E$8</f>
        <v/>
      </c>
      <c r="D22" s="5">
        <f>B22^2</f>
        <v/>
      </c>
      <c r="E22" s="5">
        <f>B22*C22</f>
        <v/>
      </c>
      <c r="F22" s="5">
        <f>B22*$C$32</f>
        <v/>
      </c>
      <c r="G22" s="11">
        <f>(C22-F22)^2</f>
        <v/>
      </c>
    </row>
    <row r="23">
      <c r="B23" s="6">
        <f>$B$9</f>
        <v/>
      </c>
      <c r="C23" s="5">
        <f>$C$9</f>
        <v/>
      </c>
      <c r="D23" s="5">
        <f>B23^2</f>
        <v/>
      </c>
      <c r="E23" s="5">
        <f>B23*C23</f>
        <v/>
      </c>
      <c r="F23" s="5">
        <f>B23*$C$32</f>
        <v/>
      </c>
      <c r="G23" s="11">
        <f>(C23-F23)^2</f>
        <v/>
      </c>
    </row>
    <row r="24">
      <c r="B24" s="6">
        <f>$B$9</f>
        <v/>
      </c>
      <c r="C24" s="5">
        <f>$D$9</f>
        <v/>
      </c>
      <c r="D24" s="5">
        <f>B24^2</f>
        <v/>
      </c>
      <c r="E24" s="5">
        <f>B24*C24</f>
        <v/>
      </c>
      <c r="F24" s="5">
        <f>B24*$C$32</f>
        <v/>
      </c>
      <c r="G24" s="11">
        <f>(C24-F24)^2</f>
        <v/>
      </c>
    </row>
    <row r="25">
      <c r="B25" s="6">
        <f>$B$9</f>
        <v/>
      </c>
      <c r="C25" s="5">
        <f>$E$9</f>
        <v/>
      </c>
      <c r="D25" s="5">
        <f>B25^2</f>
        <v/>
      </c>
      <c r="E25" s="5">
        <f>B25*C25</f>
        <v/>
      </c>
      <c r="F25" s="5">
        <f>B25*$C$32</f>
        <v/>
      </c>
      <c r="G25" s="11">
        <f>(C25-F25)^2</f>
        <v/>
      </c>
    </row>
    <row r="26">
      <c r="B26" s="6">
        <f>$B$10</f>
        <v/>
      </c>
      <c r="C26" s="5">
        <f>$C$10</f>
        <v/>
      </c>
      <c r="D26" s="5">
        <f>B26^2</f>
        <v/>
      </c>
      <c r="E26" s="5">
        <f>B26*C26</f>
        <v/>
      </c>
      <c r="F26" s="5">
        <f>B26*$C$32</f>
        <v/>
      </c>
      <c r="G26" s="11">
        <f>(C26-F26)^2</f>
        <v/>
      </c>
    </row>
    <row r="27">
      <c r="B27" s="6">
        <f>$B$10</f>
        <v/>
      </c>
      <c r="C27" s="5">
        <f>$D$10</f>
        <v/>
      </c>
      <c r="D27" s="5">
        <f>B27^2</f>
        <v/>
      </c>
      <c r="E27" s="5">
        <f>B27*C27</f>
        <v/>
      </c>
      <c r="F27" s="5">
        <f>B27*$C$32</f>
        <v/>
      </c>
      <c r="G27" s="11">
        <f>(C27-F27)^2</f>
        <v/>
      </c>
    </row>
    <row r="28">
      <c r="B28" s="6">
        <f>$B$10</f>
        <v/>
      </c>
      <c r="C28" s="5">
        <f>$E$10</f>
        <v/>
      </c>
      <c r="D28" s="5">
        <f>B28^2</f>
        <v/>
      </c>
      <c r="E28" s="5">
        <f>B28*C28</f>
        <v/>
      </c>
      <c r="F28" s="5">
        <f>B28*$C$32</f>
        <v/>
      </c>
      <c r="G28" s="11">
        <f>(C28-F28)^2</f>
        <v/>
      </c>
    </row>
    <row r="29">
      <c r="A29" s="12" t="inlineStr">
        <is>
          <t>Сумма (Σ)</t>
        </is>
      </c>
      <c r="B29" s="13">
        <f>SUM(B14:B28)</f>
        <v/>
      </c>
      <c r="C29" s="14">
        <f>SUM(C14:C28)</f>
        <v/>
      </c>
      <c r="D29" s="14">
        <f>SUM(D14:D28)</f>
        <v/>
      </c>
      <c r="E29" s="14">
        <f>SUM(E14:E28)</f>
        <v/>
      </c>
      <c r="F29" s="12" t="n"/>
      <c r="G29" s="15">
        <f>SUM(G14:G28)</f>
        <v/>
      </c>
    </row>
    <row r="30">
      <c r="A30" s="12" t="inlineStr">
        <is>
          <t>Сумма в квадрате (Σ²)</t>
        </is>
      </c>
      <c r="B30" s="13">
        <f>B29^2</f>
        <v/>
      </c>
      <c r="C30" s="14">
        <f>C29^2</f>
        <v/>
      </c>
    </row>
    <row r="31">
      <c r="B31" s="16" t="inlineStr">
        <is>
          <t>Метрологические параметры регрессии (S = k*C)</t>
        </is>
      </c>
    </row>
    <row r="32">
      <c r="B32" s="17" t="inlineStr">
        <is>
          <t>k (slope)</t>
        </is>
      </c>
      <c r="C32" s="18">
        <f>E29/D29</f>
        <v/>
      </c>
    </row>
    <row r="33">
      <c r="B33" s="19" t="inlineStr">
        <is>
          <t>S(y)^2</t>
        </is>
      </c>
      <c r="C33" s="20">
        <f>G29/(15-1)</f>
        <v/>
      </c>
    </row>
    <row r="34">
      <c r="B34" s="19" t="inlineStr">
        <is>
          <t>S(y)</t>
        </is>
      </c>
      <c r="C34" s="20">
        <f>SQRT(C33)</f>
        <v/>
      </c>
    </row>
    <row r="35">
      <c r="B35" s="19" t="inlineStr">
        <is>
          <t>S(k)^2</t>
        </is>
      </c>
      <c r="C35" s="21">
        <f>C33/D29</f>
        <v/>
      </c>
    </row>
    <row r="36">
      <c r="B36" s="19" t="inlineStr">
        <is>
          <t>S(k)</t>
        </is>
      </c>
      <c r="C36" s="22">
        <f>SQRT(C35)</f>
        <v/>
      </c>
    </row>
    <row r="37">
      <c r="B37" s="19" t="inlineStr">
        <is>
          <t>t(0.95, 14)</t>
        </is>
      </c>
      <c r="C37" s="23">
        <f>T.INV.2T(1-0.95, 15-1)</f>
        <v/>
      </c>
    </row>
    <row r="38">
      <c r="B38" s="19" t="inlineStr">
        <is>
          <t>Dk</t>
        </is>
      </c>
      <c r="C38" s="22">
        <f>C37*C36</f>
        <v/>
      </c>
    </row>
    <row r="39">
      <c r="B39" s="17" t="inlineStr">
        <is>
          <t>R^2</t>
        </is>
      </c>
      <c r="C39" s="18">
        <f>RSQ(C14:C28, B14:B28)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26" customWidth="1" min="3" max="3"/>
    <col width="25" customWidth="1" min="4" max="4"/>
    <col width="25" customWidth="1" min="5" max="5"/>
    <col width="20" customWidth="1" min="6" max="6"/>
    <col width="38" customWidth="1" min="7" max="7"/>
  </cols>
  <sheetData>
    <row r="1"/>
    <row r="2">
      <c r="B2" s="7" t="inlineStr">
        <is>
          <t>Метрологическая обработка: Нитрит-ион (модель S = k*C, R ~ 0.999x)</t>
        </is>
      </c>
    </row>
    <row r="3"/>
    <row r="4">
      <c r="B4" s="8" t="inlineStr">
        <is>
          <t>Сводная таблица параллельных определений</t>
        </is>
      </c>
    </row>
    <row r="5">
      <c r="B5" s="2" t="inlineStr">
        <is>
          <t>C, мг/дм3</t>
        </is>
      </c>
      <c r="C5" s="2" t="inlineStr">
        <is>
          <t>S1</t>
        </is>
      </c>
      <c r="D5" s="2" t="inlineStr">
        <is>
          <t>S2</t>
        </is>
      </c>
      <c r="E5" s="2" t="inlineStr">
        <is>
          <t>S3</t>
        </is>
      </c>
      <c r="F5" s="2" t="inlineStr">
        <is>
          <t>Sср</t>
        </is>
      </c>
      <c r="G5" s="2" t="inlineStr">
        <is>
          <t>t_m ср, мин</t>
        </is>
      </c>
    </row>
    <row r="6">
      <c r="B6" s="6">
        <f>'Исходные данные'!L5</f>
        <v/>
      </c>
      <c r="C6" s="9">
        <f>'Исходные данные'!K5</f>
        <v/>
      </c>
      <c r="D6" s="9">
        <f>'Исходные данные'!K6</f>
        <v/>
      </c>
      <c r="E6" s="9">
        <f>'Исходные данные'!K7</f>
        <v/>
      </c>
      <c r="F6" s="9">
        <f>AVERAGE(C6:E6)</f>
        <v/>
      </c>
      <c r="G6" s="10">
        <f>AVERAGE('Исходные данные'!I5:I7)</f>
        <v/>
      </c>
    </row>
    <row r="7">
      <c r="B7" s="6">
        <f>'Исходные данные'!L8</f>
        <v/>
      </c>
      <c r="C7" s="9">
        <f>'Исходные данные'!K8</f>
        <v/>
      </c>
      <c r="D7" s="9">
        <f>'Исходные данные'!K9</f>
        <v/>
      </c>
      <c r="E7" s="9">
        <f>'Исходные данные'!K10</f>
        <v/>
      </c>
      <c r="F7" s="9">
        <f>AVERAGE(C7:E7)</f>
        <v/>
      </c>
      <c r="G7" s="10">
        <f>AVERAGE('Исходные данные'!I8:I10)</f>
        <v/>
      </c>
    </row>
    <row r="8">
      <c r="B8" s="6">
        <f>'Исходные данные'!L11</f>
        <v/>
      </c>
      <c r="C8" s="9">
        <f>'Исходные данные'!K11</f>
        <v/>
      </c>
      <c r="D8" s="9">
        <f>'Исходные данные'!K12</f>
        <v/>
      </c>
      <c r="E8" s="9">
        <f>'Исходные данные'!K13</f>
        <v/>
      </c>
      <c r="F8" s="9">
        <f>AVERAGE(C8:E8)</f>
        <v/>
      </c>
      <c r="G8" s="10">
        <f>AVERAGE('Исходные данные'!I11:I13)</f>
        <v/>
      </c>
    </row>
    <row r="9">
      <c r="B9" s="6">
        <f>'Исходные данные'!L14</f>
        <v/>
      </c>
      <c r="C9" s="9">
        <f>'Исходные данные'!K14</f>
        <v/>
      </c>
      <c r="D9" s="9">
        <f>'Исходные данные'!K15</f>
        <v/>
      </c>
      <c r="E9" s="9">
        <f>'Исходные данные'!K16</f>
        <v/>
      </c>
      <c r="F9" s="9">
        <f>AVERAGE(C9:E9)</f>
        <v/>
      </c>
      <c r="G9" s="10">
        <f>AVERAGE('Исходные данные'!I14:I16)</f>
        <v/>
      </c>
    </row>
    <row r="10">
      <c r="B10" s="6">
        <f>'Исходные данные'!L17</f>
        <v/>
      </c>
      <c r="C10" s="9">
        <f>'Исходные данные'!K17</f>
        <v/>
      </c>
      <c r="D10" s="9">
        <f>'Исходные данные'!K18</f>
        <v/>
      </c>
      <c r="E10" s="9">
        <f>'Исходные данные'!K19</f>
        <v/>
      </c>
      <c r="F10" s="9">
        <f>AVERAGE(C10:E10)</f>
        <v/>
      </c>
      <c r="G10" s="10">
        <f>AVERAGE('Исходные данные'!I17:I19)</f>
        <v/>
      </c>
    </row>
    <row r="11"/>
    <row r="12">
      <c r="B12" s="8" t="inlineStr">
        <is>
          <t>Расчет параметров калибровочной прямой методом наименьших квадратов (МНК, модель S = k*C)</t>
        </is>
      </c>
    </row>
    <row r="13">
      <c r="B13" s="2" t="inlineStr">
        <is>
          <t>C (xi)</t>
        </is>
      </c>
      <c r="C13" s="2" t="inlineStr">
        <is>
          <t>S (yi)</t>
        </is>
      </c>
      <c r="D13" s="2" t="inlineStr">
        <is>
          <t>C^2 (xi^2)</t>
        </is>
      </c>
      <c r="E13" s="2" t="inlineStr">
        <is>
          <t>C*S (xi*yi)</t>
        </is>
      </c>
      <c r="F13" s="2" t="inlineStr">
        <is>
          <t>S_расч (y_расч)</t>
        </is>
      </c>
      <c r="G13" s="2" t="inlineStr">
        <is>
          <t>(yi-y_расч)^2</t>
        </is>
      </c>
    </row>
    <row r="14">
      <c r="B14" s="6">
        <f>$B$6</f>
        <v/>
      </c>
      <c r="C14" s="5">
        <f>$C$6</f>
        <v/>
      </c>
      <c r="D14" s="5">
        <f>B14^2</f>
        <v/>
      </c>
      <c r="E14" s="5">
        <f>B14*C14</f>
        <v/>
      </c>
      <c r="F14" s="5">
        <f>B14*$C$32</f>
        <v/>
      </c>
      <c r="G14" s="11">
        <f>(C14-F14)^2</f>
        <v/>
      </c>
    </row>
    <row r="15">
      <c r="B15" s="6">
        <f>$B$6</f>
        <v/>
      </c>
      <c r="C15" s="5">
        <f>$D$6</f>
        <v/>
      </c>
      <c r="D15" s="5">
        <f>B15^2</f>
        <v/>
      </c>
      <c r="E15" s="5">
        <f>B15*C15</f>
        <v/>
      </c>
      <c r="F15" s="5">
        <f>B15*$C$32</f>
        <v/>
      </c>
      <c r="G15" s="11">
        <f>(C15-F15)^2</f>
        <v/>
      </c>
    </row>
    <row r="16">
      <c r="B16" s="6">
        <f>$B$6</f>
        <v/>
      </c>
      <c r="C16" s="5">
        <f>$E$6</f>
        <v/>
      </c>
      <c r="D16" s="5">
        <f>B16^2</f>
        <v/>
      </c>
      <c r="E16" s="5">
        <f>B16*C16</f>
        <v/>
      </c>
      <c r="F16" s="5">
        <f>B16*$C$32</f>
        <v/>
      </c>
      <c r="G16" s="11">
        <f>(C16-F16)^2</f>
        <v/>
      </c>
    </row>
    <row r="17">
      <c r="B17" s="6">
        <f>$B$7</f>
        <v/>
      </c>
      <c r="C17" s="5">
        <f>$C$7</f>
        <v/>
      </c>
      <c r="D17" s="5">
        <f>B17^2</f>
        <v/>
      </c>
      <c r="E17" s="5">
        <f>B17*C17</f>
        <v/>
      </c>
      <c r="F17" s="5">
        <f>B17*$C$32</f>
        <v/>
      </c>
      <c r="G17" s="11">
        <f>(C17-F17)^2</f>
        <v/>
      </c>
    </row>
    <row r="18">
      <c r="B18" s="6">
        <f>$B$7</f>
        <v/>
      </c>
      <c r="C18" s="5">
        <f>$D$7</f>
        <v/>
      </c>
      <c r="D18" s="5">
        <f>B18^2</f>
        <v/>
      </c>
      <c r="E18" s="5">
        <f>B18*C18</f>
        <v/>
      </c>
      <c r="F18" s="5">
        <f>B18*$C$32</f>
        <v/>
      </c>
      <c r="G18" s="11">
        <f>(C18-F18)^2</f>
        <v/>
      </c>
    </row>
    <row r="19">
      <c r="B19" s="6">
        <f>$B$7</f>
        <v/>
      </c>
      <c r="C19" s="5">
        <f>$E$7</f>
        <v/>
      </c>
      <c r="D19" s="5">
        <f>B19^2</f>
        <v/>
      </c>
      <c r="E19" s="5">
        <f>B19*C19</f>
        <v/>
      </c>
      <c r="F19" s="5">
        <f>B19*$C$32</f>
        <v/>
      </c>
      <c r="G19" s="11">
        <f>(C19-F19)^2</f>
        <v/>
      </c>
    </row>
    <row r="20">
      <c r="B20" s="6">
        <f>$B$8</f>
        <v/>
      </c>
      <c r="C20" s="5">
        <f>$C$8</f>
        <v/>
      </c>
      <c r="D20" s="5">
        <f>B20^2</f>
        <v/>
      </c>
      <c r="E20" s="5">
        <f>B20*C20</f>
        <v/>
      </c>
      <c r="F20" s="5">
        <f>B20*$C$32</f>
        <v/>
      </c>
      <c r="G20" s="11">
        <f>(C20-F20)^2</f>
        <v/>
      </c>
    </row>
    <row r="21">
      <c r="B21" s="6">
        <f>$B$8</f>
        <v/>
      </c>
      <c r="C21" s="5">
        <f>$D$8</f>
        <v/>
      </c>
      <c r="D21" s="5">
        <f>B21^2</f>
        <v/>
      </c>
      <c r="E21" s="5">
        <f>B21*C21</f>
        <v/>
      </c>
      <c r="F21" s="5">
        <f>B21*$C$32</f>
        <v/>
      </c>
      <c r="G21" s="11">
        <f>(C21-F21)^2</f>
        <v/>
      </c>
    </row>
    <row r="22">
      <c r="B22" s="6">
        <f>$B$8</f>
        <v/>
      </c>
      <c r="C22" s="5">
        <f>$E$8</f>
        <v/>
      </c>
      <c r="D22" s="5">
        <f>B22^2</f>
        <v/>
      </c>
      <c r="E22" s="5">
        <f>B22*C22</f>
        <v/>
      </c>
      <c r="F22" s="5">
        <f>B22*$C$32</f>
        <v/>
      </c>
      <c r="G22" s="11">
        <f>(C22-F22)^2</f>
        <v/>
      </c>
    </row>
    <row r="23">
      <c r="B23" s="6">
        <f>$B$9</f>
        <v/>
      </c>
      <c r="C23" s="5">
        <f>$C$9</f>
        <v/>
      </c>
      <c r="D23" s="5">
        <f>B23^2</f>
        <v/>
      </c>
      <c r="E23" s="5">
        <f>B23*C23</f>
        <v/>
      </c>
      <c r="F23" s="5">
        <f>B23*$C$32</f>
        <v/>
      </c>
      <c r="G23" s="11">
        <f>(C23-F23)^2</f>
        <v/>
      </c>
    </row>
    <row r="24">
      <c r="B24" s="6">
        <f>$B$9</f>
        <v/>
      </c>
      <c r="C24" s="5">
        <f>$D$9</f>
        <v/>
      </c>
      <c r="D24" s="5">
        <f>B24^2</f>
        <v/>
      </c>
      <c r="E24" s="5">
        <f>B24*C24</f>
        <v/>
      </c>
      <c r="F24" s="5">
        <f>B24*$C$32</f>
        <v/>
      </c>
      <c r="G24" s="11">
        <f>(C24-F24)^2</f>
        <v/>
      </c>
    </row>
    <row r="25">
      <c r="B25" s="6">
        <f>$B$9</f>
        <v/>
      </c>
      <c r="C25" s="5">
        <f>$E$9</f>
        <v/>
      </c>
      <c r="D25" s="5">
        <f>B25^2</f>
        <v/>
      </c>
      <c r="E25" s="5">
        <f>B25*C25</f>
        <v/>
      </c>
      <c r="F25" s="5">
        <f>B25*$C$32</f>
        <v/>
      </c>
      <c r="G25" s="11">
        <f>(C25-F25)^2</f>
        <v/>
      </c>
    </row>
    <row r="26">
      <c r="B26" s="6">
        <f>$B$10</f>
        <v/>
      </c>
      <c r="C26" s="5">
        <f>$C$10</f>
        <v/>
      </c>
      <c r="D26" s="5">
        <f>B26^2</f>
        <v/>
      </c>
      <c r="E26" s="5">
        <f>B26*C26</f>
        <v/>
      </c>
      <c r="F26" s="5">
        <f>B26*$C$32</f>
        <v/>
      </c>
      <c r="G26" s="11">
        <f>(C26-F26)^2</f>
        <v/>
      </c>
    </row>
    <row r="27">
      <c r="B27" s="6">
        <f>$B$10</f>
        <v/>
      </c>
      <c r="C27" s="5">
        <f>$D$10</f>
        <v/>
      </c>
      <c r="D27" s="5">
        <f>B27^2</f>
        <v/>
      </c>
      <c r="E27" s="5">
        <f>B27*C27</f>
        <v/>
      </c>
      <c r="F27" s="5">
        <f>B27*$C$32</f>
        <v/>
      </c>
      <c r="G27" s="11">
        <f>(C27-F27)^2</f>
        <v/>
      </c>
    </row>
    <row r="28">
      <c r="B28" s="6">
        <f>$B$10</f>
        <v/>
      </c>
      <c r="C28" s="5">
        <f>$E$10</f>
        <v/>
      </c>
      <c r="D28" s="5">
        <f>B28^2</f>
        <v/>
      </c>
      <c r="E28" s="5">
        <f>B28*C28</f>
        <v/>
      </c>
      <c r="F28" s="5">
        <f>B28*$C$32</f>
        <v/>
      </c>
      <c r="G28" s="11">
        <f>(C28-F28)^2</f>
        <v/>
      </c>
    </row>
    <row r="29">
      <c r="A29" s="12" t="inlineStr">
        <is>
          <t>Сумма (Σ)</t>
        </is>
      </c>
      <c r="B29" s="13">
        <f>SUM(B14:B28)</f>
        <v/>
      </c>
      <c r="C29" s="14">
        <f>SUM(C14:C28)</f>
        <v/>
      </c>
      <c r="D29" s="14">
        <f>SUM(D14:D28)</f>
        <v/>
      </c>
      <c r="E29" s="14">
        <f>SUM(E14:E28)</f>
        <v/>
      </c>
      <c r="F29" s="12" t="n"/>
      <c r="G29" s="15">
        <f>SUM(G14:G28)</f>
        <v/>
      </c>
    </row>
    <row r="30">
      <c r="A30" s="12" t="inlineStr">
        <is>
          <t>Сумма в квадрате (Σ²)</t>
        </is>
      </c>
      <c r="B30" s="13">
        <f>B29^2</f>
        <v/>
      </c>
      <c r="C30" s="14">
        <f>C29^2</f>
        <v/>
      </c>
    </row>
    <row r="31">
      <c r="B31" s="16" t="inlineStr">
        <is>
          <t>Метрологические параметры регрессии (S = k*C)</t>
        </is>
      </c>
    </row>
    <row r="32">
      <c r="B32" s="17" t="inlineStr">
        <is>
          <t>k (slope)</t>
        </is>
      </c>
      <c r="C32" s="18">
        <f>E29/D29</f>
        <v/>
      </c>
    </row>
    <row r="33">
      <c r="B33" s="19" t="inlineStr">
        <is>
          <t>S(y)^2</t>
        </is>
      </c>
      <c r="C33" s="20">
        <f>G29/(15-1)</f>
        <v/>
      </c>
    </row>
    <row r="34">
      <c r="B34" s="19" t="inlineStr">
        <is>
          <t>S(y)</t>
        </is>
      </c>
      <c r="C34" s="20">
        <f>SQRT(C33)</f>
        <v/>
      </c>
    </row>
    <row r="35">
      <c r="B35" s="19" t="inlineStr">
        <is>
          <t>S(k)^2</t>
        </is>
      </c>
      <c r="C35" s="21">
        <f>C33/D29</f>
        <v/>
      </c>
    </row>
    <row r="36">
      <c r="B36" s="19" t="inlineStr">
        <is>
          <t>S(k)</t>
        </is>
      </c>
      <c r="C36" s="22">
        <f>SQRT(C35)</f>
        <v/>
      </c>
    </row>
    <row r="37">
      <c r="B37" s="19" t="inlineStr">
        <is>
          <t>t(0.95, 14)</t>
        </is>
      </c>
      <c r="C37" s="23">
        <f>T.INV.2T(1-0.95, 15-1)</f>
        <v/>
      </c>
    </row>
    <row r="38">
      <c r="B38" s="19" t="inlineStr">
        <is>
          <t>Dk</t>
        </is>
      </c>
      <c r="C38" s="22">
        <f>C37*C36</f>
        <v/>
      </c>
    </row>
    <row r="39">
      <c r="B39" s="17" t="inlineStr">
        <is>
          <t>R^2</t>
        </is>
      </c>
      <c r="C39" s="18">
        <f>RSQ(C14:C28, B14:B28)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26" customWidth="1" min="3" max="3"/>
    <col width="25" customWidth="1" min="4" max="4"/>
    <col width="25" customWidth="1" min="5" max="5"/>
    <col width="20" customWidth="1" min="6" max="6"/>
    <col width="38" customWidth="1" min="7" max="7"/>
  </cols>
  <sheetData>
    <row r="1"/>
    <row r="2">
      <c r="B2" s="7" t="inlineStr">
        <is>
          <t>Метрологическая обработка: Сульфат-ион (модель S = k*C, R ~ 0.999x)</t>
        </is>
      </c>
    </row>
    <row r="3"/>
    <row r="4">
      <c r="B4" s="8" t="inlineStr">
        <is>
          <t>Сводная таблица параллельных определений</t>
        </is>
      </c>
    </row>
    <row r="5">
      <c r="B5" s="2" t="inlineStr">
        <is>
          <t>C, мг/дм3</t>
        </is>
      </c>
      <c r="C5" s="2" t="inlineStr">
        <is>
          <t>S1</t>
        </is>
      </c>
      <c r="D5" s="2" t="inlineStr">
        <is>
          <t>S2</t>
        </is>
      </c>
      <c r="E5" s="2" t="inlineStr">
        <is>
          <t>S3</t>
        </is>
      </c>
      <c r="F5" s="2" t="inlineStr">
        <is>
          <t>Sср</t>
        </is>
      </c>
      <c r="G5" s="2" t="inlineStr">
        <is>
          <t>t_m ср, мин</t>
        </is>
      </c>
    </row>
    <row r="6">
      <c r="B6" s="6">
        <f>'Исходные данные'!R5</f>
        <v/>
      </c>
      <c r="C6" s="9">
        <f>'Исходные данные'!Q5</f>
        <v/>
      </c>
      <c r="D6" s="9">
        <f>'Исходные данные'!Q6</f>
        <v/>
      </c>
      <c r="E6" s="9">
        <f>'Исходные данные'!Q7</f>
        <v/>
      </c>
      <c r="F6" s="9">
        <f>AVERAGE(C6:E6)</f>
        <v/>
      </c>
      <c r="G6" s="10">
        <f>AVERAGE('Исходные данные'!O5:O7)</f>
        <v/>
      </c>
    </row>
    <row r="7">
      <c r="B7" s="6">
        <f>'Исходные данные'!R8</f>
        <v/>
      </c>
      <c r="C7" s="9">
        <f>'Исходные данные'!Q8</f>
        <v/>
      </c>
      <c r="D7" s="9">
        <f>'Исходные данные'!Q9</f>
        <v/>
      </c>
      <c r="E7" s="9">
        <f>'Исходные данные'!Q10</f>
        <v/>
      </c>
      <c r="F7" s="9">
        <f>AVERAGE(C7:E7)</f>
        <v/>
      </c>
      <c r="G7" s="10">
        <f>AVERAGE('Исходные данные'!O8:O10)</f>
        <v/>
      </c>
    </row>
    <row r="8">
      <c r="B8" s="6">
        <f>'Исходные данные'!R11</f>
        <v/>
      </c>
      <c r="C8" s="9">
        <f>'Исходные данные'!Q11</f>
        <v/>
      </c>
      <c r="D8" s="9">
        <f>'Исходные данные'!Q12</f>
        <v/>
      </c>
      <c r="E8" s="9">
        <f>'Исходные данные'!Q13</f>
        <v/>
      </c>
      <c r="F8" s="9">
        <f>AVERAGE(C8:E8)</f>
        <v/>
      </c>
      <c r="G8" s="10">
        <f>AVERAGE('Исходные данные'!O11:O13)</f>
        <v/>
      </c>
    </row>
    <row r="9">
      <c r="B9" s="6">
        <f>'Исходные данные'!R14</f>
        <v/>
      </c>
      <c r="C9" s="9">
        <f>'Исходные данные'!Q14</f>
        <v/>
      </c>
      <c r="D9" s="9">
        <f>'Исходные данные'!Q15</f>
        <v/>
      </c>
      <c r="E9" s="9">
        <f>'Исходные данные'!Q16</f>
        <v/>
      </c>
      <c r="F9" s="9">
        <f>AVERAGE(C9:E9)</f>
        <v/>
      </c>
      <c r="G9" s="10">
        <f>AVERAGE('Исходные данные'!O14:O16)</f>
        <v/>
      </c>
    </row>
    <row r="10">
      <c r="B10" s="6">
        <f>'Исходные данные'!R17</f>
        <v/>
      </c>
      <c r="C10" s="9">
        <f>'Исходные данные'!Q17</f>
        <v/>
      </c>
      <c r="D10" s="9">
        <f>'Исходные данные'!Q18</f>
        <v/>
      </c>
      <c r="E10" s="9">
        <f>'Исходные данные'!Q19</f>
        <v/>
      </c>
      <c r="F10" s="9">
        <f>AVERAGE(C10:E10)</f>
        <v/>
      </c>
      <c r="G10" s="10">
        <f>AVERAGE('Исходные данные'!O17:O19)</f>
        <v/>
      </c>
    </row>
    <row r="11">
      <c r="B11" s="6">
        <f>'Исходные данные'!R20</f>
        <v/>
      </c>
      <c r="C11" s="9">
        <f>'Исходные данные'!Q20</f>
        <v/>
      </c>
      <c r="D11" s="9">
        <f>'Исходные данные'!Q21</f>
        <v/>
      </c>
      <c r="E11" s="9">
        <f>'Исходные данные'!Q22</f>
        <v/>
      </c>
      <c r="F11" s="9">
        <f>AVERAGE(C11:E11)</f>
        <v/>
      </c>
      <c r="G11" s="10">
        <f>AVERAGE('Исходные данные'!O20:O22)</f>
        <v/>
      </c>
    </row>
    <row r="12">
      <c r="B12" s="8" t="inlineStr">
        <is>
          <t>Расчет параметров калибровочной прямой методом наименьших квадратов (МНК, модель S = k*C)</t>
        </is>
      </c>
    </row>
    <row r="13">
      <c r="B13" s="2" t="inlineStr">
        <is>
          <t>C (xi)</t>
        </is>
      </c>
      <c r="C13" s="2" t="inlineStr">
        <is>
          <t>S (yi)</t>
        </is>
      </c>
      <c r="D13" s="2" t="inlineStr">
        <is>
          <t>C^2 (xi^2)</t>
        </is>
      </c>
      <c r="E13" s="2" t="inlineStr">
        <is>
          <t>C*S (xi*yi)</t>
        </is>
      </c>
      <c r="F13" s="2" t="inlineStr">
        <is>
          <t>S_расч (y_расч)</t>
        </is>
      </c>
      <c r="G13" s="2" t="inlineStr">
        <is>
          <t>(yi-y_расч)^2</t>
        </is>
      </c>
    </row>
    <row r="14">
      <c r="B14" s="6">
        <f>$B$6</f>
        <v/>
      </c>
      <c r="C14" s="5">
        <f>$C$6</f>
        <v/>
      </c>
      <c r="D14" s="5">
        <f>B14^2</f>
        <v/>
      </c>
      <c r="E14" s="5">
        <f>B14*C14</f>
        <v/>
      </c>
      <c r="F14" s="5">
        <f>B14*$C$35</f>
        <v/>
      </c>
      <c r="G14" s="11">
        <f>(C14-F14)^2</f>
        <v/>
      </c>
    </row>
    <row r="15">
      <c r="B15" s="6">
        <f>$B$6</f>
        <v/>
      </c>
      <c r="C15" s="5">
        <f>$D$6</f>
        <v/>
      </c>
      <c r="D15" s="5">
        <f>B15^2</f>
        <v/>
      </c>
      <c r="E15" s="5">
        <f>B15*C15</f>
        <v/>
      </c>
      <c r="F15" s="5">
        <f>B15*$C$35</f>
        <v/>
      </c>
      <c r="G15" s="11">
        <f>(C15-F15)^2</f>
        <v/>
      </c>
    </row>
    <row r="16">
      <c r="B16" s="6">
        <f>$B$6</f>
        <v/>
      </c>
      <c r="C16" s="5">
        <f>$E$6</f>
        <v/>
      </c>
      <c r="D16" s="5">
        <f>B16^2</f>
        <v/>
      </c>
      <c r="E16" s="5">
        <f>B16*C16</f>
        <v/>
      </c>
      <c r="F16" s="5">
        <f>B16*$C$35</f>
        <v/>
      </c>
      <c r="G16" s="11">
        <f>(C16-F16)^2</f>
        <v/>
      </c>
    </row>
    <row r="17">
      <c r="B17" s="6">
        <f>$B$7</f>
        <v/>
      </c>
      <c r="C17" s="5">
        <f>$C$7</f>
        <v/>
      </c>
      <c r="D17" s="5">
        <f>B17^2</f>
        <v/>
      </c>
      <c r="E17" s="5">
        <f>B17*C17</f>
        <v/>
      </c>
      <c r="F17" s="5">
        <f>B17*$C$35</f>
        <v/>
      </c>
      <c r="G17" s="11">
        <f>(C17-F17)^2</f>
        <v/>
      </c>
    </row>
    <row r="18">
      <c r="B18" s="6">
        <f>$B$7</f>
        <v/>
      </c>
      <c r="C18" s="5">
        <f>$D$7</f>
        <v/>
      </c>
      <c r="D18" s="5">
        <f>B18^2</f>
        <v/>
      </c>
      <c r="E18" s="5">
        <f>B18*C18</f>
        <v/>
      </c>
      <c r="F18" s="5">
        <f>B18*$C$35</f>
        <v/>
      </c>
      <c r="G18" s="11">
        <f>(C18-F18)^2</f>
        <v/>
      </c>
    </row>
    <row r="19">
      <c r="B19" s="6">
        <f>$B$7</f>
        <v/>
      </c>
      <c r="C19" s="5">
        <f>$E$7</f>
        <v/>
      </c>
      <c r="D19" s="5">
        <f>B19^2</f>
        <v/>
      </c>
      <c r="E19" s="5">
        <f>B19*C19</f>
        <v/>
      </c>
      <c r="F19" s="5">
        <f>B19*$C$35</f>
        <v/>
      </c>
      <c r="G19" s="11">
        <f>(C19-F19)^2</f>
        <v/>
      </c>
    </row>
    <row r="20">
      <c r="B20" s="6">
        <f>$B$8</f>
        <v/>
      </c>
      <c r="C20" s="5">
        <f>$C$8</f>
        <v/>
      </c>
      <c r="D20" s="5">
        <f>B20^2</f>
        <v/>
      </c>
      <c r="E20" s="5">
        <f>B20*C20</f>
        <v/>
      </c>
      <c r="F20" s="5">
        <f>B20*$C$35</f>
        <v/>
      </c>
      <c r="G20" s="11">
        <f>(C20-F20)^2</f>
        <v/>
      </c>
    </row>
    <row r="21">
      <c r="B21" s="6">
        <f>$B$8</f>
        <v/>
      </c>
      <c r="C21" s="5">
        <f>$D$8</f>
        <v/>
      </c>
      <c r="D21" s="5">
        <f>B21^2</f>
        <v/>
      </c>
      <c r="E21" s="5">
        <f>B21*C21</f>
        <v/>
      </c>
      <c r="F21" s="5">
        <f>B21*$C$35</f>
        <v/>
      </c>
      <c r="G21" s="11">
        <f>(C21-F21)^2</f>
        <v/>
      </c>
    </row>
    <row r="22">
      <c r="B22" s="6">
        <f>$B$8</f>
        <v/>
      </c>
      <c r="C22" s="5">
        <f>$E$8</f>
        <v/>
      </c>
      <c r="D22" s="5">
        <f>B22^2</f>
        <v/>
      </c>
      <c r="E22" s="5">
        <f>B22*C22</f>
        <v/>
      </c>
      <c r="F22" s="5">
        <f>B22*$C$35</f>
        <v/>
      </c>
      <c r="G22" s="11">
        <f>(C22-F22)^2</f>
        <v/>
      </c>
    </row>
    <row r="23">
      <c r="B23" s="6">
        <f>$B$9</f>
        <v/>
      </c>
      <c r="C23" s="5">
        <f>$C$9</f>
        <v/>
      </c>
      <c r="D23" s="5">
        <f>B23^2</f>
        <v/>
      </c>
      <c r="E23" s="5">
        <f>B23*C23</f>
        <v/>
      </c>
      <c r="F23" s="5">
        <f>B23*$C$35</f>
        <v/>
      </c>
      <c r="G23" s="11">
        <f>(C23-F23)^2</f>
        <v/>
      </c>
    </row>
    <row r="24">
      <c r="B24" s="6">
        <f>$B$9</f>
        <v/>
      </c>
      <c r="C24" s="5">
        <f>$D$9</f>
        <v/>
      </c>
      <c r="D24" s="5">
        <f>B24^2</f>
        <v/>
      </c>
      <c r="E24" s="5">
        <f>B24*C24</f>
        <v/>
      </c>
      <c r="F24" s="5">
        <f>B24*$C$35</f>
        <v/>
      </c>
      <c r="G24" s="11">
        <f>(C24-F24)^2</f>
        <v/>
      </c>
    </row>
    <row r="25">
      <c r="B25" s="6">
        <f>$B$9</f>
        <v/>
      </c>
      <c r="C25" s="5">
        <f>$E$9</f>
        <v/>
      </c>
      <c r="D25" s="5">
        <f>B25^2</f>
        <v/>
      </c>
      <c r="E25" s="5">
        <f>B25*C25</f>
        <v/>
      </c>
      <c r="F25" s="5">
        <f>B25*$C$35</f>
        <v/>
      </c>
      <c r="G25" s="11">
        <f>(C25-F25)^2</f>
        <v/>
      </c>
    </row>
    <row r="26">
      <c r="B26" s="6">
        <f>$B$10</f>
        <v/>
      </c>
      <c r="C26" s="5">
        <f>$C$10</f>
        <v/>
      </c>
      <c r="D26" s="5">
        <f>B26^2</f>
        <v/>
      </c>
      <c r="E26" s="5">
        <f>B26*C26</f>
        <v/>
      </c>
      <c r="F26" s="5">
        <f>B26*$C$35</f>
        <v/>
      </c>
      <c r="G26" s="11">
        <f>(C26-F26)^2</f>
        <v/>
      </c>
    </row>
    <row r="27">
      <c r="B27" s="6">
        <f>$B$10</f>
        <v/>
      </c>
      <c r="C27" s="5">
        <f>$D$10</f>
        <v/>
      </c>
      <c r="D27" s="5">
        <f>B27^2</f>
        <v/>
      </c>
      <c r="E27" s="5">
        <f>B27*C27</f>
        <v/>
      </c>
      <c r="F27" s="5">
        <f>B27*$C$35</f>
        <v/>
      </c>
      <c r="G27" s="11">
        <f>(C27-F27)^2</f>
        <v/>
      </c>
    </row>
    <row r="28">
      <c r="B28" s="6">
        <f>$B$10</f>
        <v/>
      </c>
      <c r="C28" s="5">
        <f>$E$10</f>
        <v/>
      </c>
      <c r="D28" s="5">
        <f>B28^2</f>
        <v/>
      </c>
      <c r="E28" s="5">
        <f>B28*C28</f>
        <v/>
      </c>
      <c r="F28" s="5">
        <f>B28*$C$35</f>
        <v/>
      </c>
      <c r="G28" s="11">
        <f>(C28-F28)^2</f>
        <v/>
      </c>
    </row>
    <row r="29">
      <c r="B29" s="6">
        <f>$B$11</f>
        <v/>
      </c>
      <c r="C29" s="5">
        <f>$C$11</f>
        <v/>
      </c>
      <c r="D29" s="5">
        <f>B29^2</f>
        <v/>
      </c>
      <c r="E29" s="5">
        <f>B29*C29</f>
        <v/>
      </c>
      <c r="F29" s="5">
        <f>B29*$C$35</f>
        <v/>
      </c>
      <c r="G29" s="11">
        <f>(C29-F29)^2</f>
        <v/>
      </c>
    </row>
    <row r="30">
      <c r="B30" s="6">
        <f>$B$11</f>
        <v/>
      </c>
      <c r="C30" s="5">
        <f>$D$11</f>
        <v/>
      </c>
      <c r="D30" s="5">
        <f>B30^2</f>
        <v/>
      </c>
      <c r="E30" s="5">
        <f>B30*C30</f>
        <v/>
      </c>
      <c r="F30" s="5">
        <f>B30*$C$35</f>
        <v/>
      </c>
      <c r="G30" s="11">
        <f>(C30-F30)^2</f>
        <v/>
      </c>
    </row>
    <row r="31">
      <c r="B31" s="6">
        <f>$B$11</f>
        <v/>
      </c>
      <c r="C31" s="5">
        <f>$E$11</f>
        <v/>
      </c>
      <c r="D31" s="5">
        <f>B31^2</f>
        <v/>
      </c>
      <c r="E31" s="5">
        <f>B31*C31</f>
        <v/>
      </c>
      <c r="F31" s="5">
        <f>B31*$C$35</f>
        <v/>
      </c>
      <c r="G31" s="11">
        <f>(C31-F31)^2</f>
        <v/>
      </c>
    </row>
    <row r="32">
      <c r="A32" s="12" t="inlineStr">
        <is>
          <t>Сумма (Σ)</t>
        </is>
      </c>
      <c r="B32" s="13">
        <f>SUM(B14:B31)</f>
        <v/>
      </c>
      <c r="C32" s="14">
        <f>SUM(C14:C31)</f>
        <v/>
      </c>
      <c r="D32" s="14">
        <f>SUM(D14:D31)</f>
        <v/>
      </c>
      <c r="E32" s="14">
        <f>SUM(E14:E31)</f>
        <v/>
      </c>
      <c r="F32" s="12" t="n"/>
      <c r="G32" s="15">
        <f>SUM(G14:G31)</f>
        <v/>
      </c>
    </row>
    <row r="33">
      <c r="A33" s="12" t="inlineStr">
        <is>
          <t>Сумма в квадрате (Σ²)</t>
        </is>
      </c>
      <c r="B33" s="13">
        <f>B32^2</f>
        <v/>
      </c>
      <c r="C33" s="14">
        <f>C32^2</f>
        <v/>
      </c>
    </row>
    <row r="34">
      <c r="B34" s="16" t="inlineStr">
        <is>
          <t>Метрологические параметры регрессии (S = k*C)</t>
        </is>
      </c>
    </row>
    <row r="35">
      <c r="B35" s="17" t="inlineStr">
        <is>
          <t>k (slope)</t>
        </is>
      </c>
      <c r="C35" s="18">
        <f>E32/D32</f>
        <v/>
      </c>
    </row>
    <row r="36">
      <c r="B36" s="19" t="inlineStr">
        <is>
          <t>S(y)^2</t>
        </is>
      </c>
      <c r="C36" s="20">
        <f>G32/(18-1)</f>
        <v/>
      </c>
    </row>
    <row r="37">
      <c r="B37" s="19" t="inlineStr">
        <is>
          <t>S(y)</t>
        </is>
      </c>
      <c r="C37" s="20">
        <f>SQRT(C36)</f>
        <v/>
      </c>
    </row>
    <row r="38">
      <c r="B38" s="19" t="inlineStr">
        <is>
          <t>S(k)^2</t>
        </is>
      </c>
      <c r="C38" s="21">
        <f>C36/D32</f>
        <v/>
      </c>
    </row>
    <row r="39">
      <c r="B39" s="19" t="inlineStr">
        <is>
          <t>S(k)</t>
        </is>
      </c>
      <c r="C39" s="22">
        <f>SQRT(C38)</f>
        <v/>
      </c>
    </row>
    <row r="40">
      <c r="B40" s="19" t="inlineStr">
        <is>
          <t>t(0.95, 17)</t>
        </is>
      </c>
      <c r="C40" s="23">
        <f>T.INV.2T(1-0.95, 18-1)</f>
        <v/>
      </c>
    </row>
    <row r="41">
      <c r="B41" s="19" t="inlineStr">
        <is>
          <t>Dk</t>
        </is>
      </c>
      <c r="C41" s="22">
        <f>C40*C39</f>
        <v/>
      </c>
    </row>
    <row r="42">
      <c r="B42" s="17" t="inlineStr">
        <is>
          <t>R^2</t>
        </is>
      </c>
      <c r="C42" s="18">
        <f>RSQ(C14:C31, B14:B31)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26" customWidth="1" min="3" max="3"/>
    <col width="25" customWidth="1" min="4" max="4"/>
    <col width="25" customWidth="1" min="5" max="5"/>
    <col width="18" customWidth="1" min="6" max="6"/>
    <col width="38" customWidth="1" min="7" max="7"/>
  </cols>
  <sheetData>
    <row r="1"/>
    <row r="2">
      <c r="B2" s="7" t="inlineStr">
        <is>
          <t>Метрологическая обработка: Фторид-ион (модель S = k*C, R ~ 0.999x)</t>
        </is>
      </c>
    </row>
    <row r="3"/>
    <row r="4">
      <c r="B4" s="8" t="inlineStr">
        <is>
          <t>Сводная таблица параллельных определений</t>
        </is>
      </c>
    </row>
    <row r="5">
      <c r="B5" s="2" t="inlineStr">
        <is>
          <t>C, мг/дм3</t>
        </is>
      </c>
      <c r="C5" s="2" t="inlineStr">
        <is>
          <t>S1</t>
        </is>
      </c>
      <c r="D5" s="2" t="inlineStr">
        <is>
          <t>S2</t>
        </is>
      </c>
      <c r="E5" s="2" t="inlineStr">
        <is>
          <t>S3</t>
        </is>
      </c>
      <c r="F5" s="2" t="inlineStr">
        <is>
          <t>Sср</t>
        </is>
      </c>
      <c r="G5" s="2" t="inlineStr">
        <is>
          <t>t_m ср, мин</t>
        </is>
      </c>
    </row>
    <row r="6">
      <c r="B6" s="6">
        <f>'Исходные данные'!X5</f>
        <v/>
      </c>
      <c r="C6" s="9">
        <f>'Исходные данные'!W5</f>
        <v/>
      </c>
      <c r="D6" s="9">
        <f>'Исходные данные'!W6</f>
        <v/>
      </c>
      <c r="E6" s="9">
        <f>'Исходные данные'!W7</f>
        <v/>
      </c>
      <c r="F6" s="9">
        <f>AVERAGE(C6:E6)</f>
        <v/>
      </c>
      <c r="G6" s="10">
        <f>AVERAGE('Исходные данные'!U5:U7)</f>
        <v/>
      </c>
    </row>
    <row r="7">
      <c r="B7" s="6">
        <f>'Исходные данные'!X8</f>
        <v/>
      </c>
      <c r="C7" s="9">
        <f>'Исходные данные'!W8</f>
        <v/>
      </c>
      <c r="D7" s="9">
        <f>'Исходные данные'!W9</f>
        <v/>
      </c>
      <c r="E7" s="9">
        <f>'Исходные данные'!W10</f>
        <v/>
      </c>
      <c r="F7" s="9">
        <f>AVERAGE(C7:E7)</f>
        <v/>
      </c>
      <c r="G7" s="10">
        <f>AVERAGE('Исходные данные'!U8:U10)</f>
        <v/>
      </c>
    </row>
    <row r="8">
      <c r="B8" s="6">
        <f>'Исходные данные'!X11</f>
        <v/>
      </c>
      <c r="C8" s="9">
        <f>'Исходные данные'!W11</f>
        <v/>
      </c>
      <c r="D8" s="9">
        <f>'Исходные данные'!W12</f>
        <v/>
      </c>
      <c r="E8" s="9">
        <f>'Исходные данные'!W13</f>
        <v/>
      </c>
      <c r="F8" s="9">
        <f>AVERAGE(C8:E8)</f>
        <v/>
      </c>
      <c r="G8" s="10">
        <f>AVERAGE('Исходные данные'!U11:U13)</f>
        <v/>
      </c>
    </row>
    <row r="9">
      <c r="B9" s="6">
        <f>'Исходные данные'!X14</f>
        <v/>
      </c>
      <c r="C9" s="9">
        <f>'Исходные данные'!W14</f>
        <v/>
      </c>
      <c r="D9" s="9">
        <f>'Исходные данные'!W15</f>
        <v/>
      </c>
      <c r="E9" s="9">
        <f>'Исходные данные'!W16</f>
        <v/>
      </c>
      <c r="F9" s="9">
        <f>AVERAGE(C9:E9)</f>
        <v/>
      </c>
      <c r="G9" s="10">
        <f>AVERAGE('Исходные данные'!U14:U16)</f>
        <v/>
      </c>
    </row>
    <row r="10"/>
    <row r="11"/>
    <row r="12">
      <c r="B12" s="8" t="inlineStr">
        <is>
          <t>Расчет параметров калибровочной прямой методом наименьших квадратов (МНК, модель S = k*C)</t>
        </is>
      </c>
    </row>
    <row r="13">
      <c r="B13" s="2" t="inlineStr">
        <is>
          <t>C (xi)</t>
        </is>
      </c>
      <c r="C13" s="2" t="inlineStr">
        <is>
          <t>S (yi)</t>
        </is>
      </c>
      <c r="D13" s="2" t="inlineStr">
        <is>
          <t>C^2 (xi^2)</t>
        </is>
      </c>
      <c r="E13" s="2" t="inlineStr">
        <is>
          <t>C*S (xi*yi)</t>
        </is>
      </c>
      <c r="F13" s="2" t="inlineStr">
        <is>
          <t>S_расч (y_расч)</t>
        </is>
      </c>
      <c r="G13" s="2" t="inlineStr">
        <is>
          <t>(yi-y_расч)^2</t>
        </is>
      </c>
    </row>
    <row r="14">
      <c r="B14" s="6">
        <f>$B$6</f>
        <v/>
      </c>
      <c r="C14" s="5">
        <f>$C$6</f>
        <v/>
      </c>
      <c r="D14" s="5">
        <f>B14^2</f>
        <v/>
      </c>
      <c r="E14" s="5">
        <f>B14*C14</f>
        <v/>
      </c>
      <c r="F14" s="5">
        <f>B14*$C$29</f>
        <v/>
      </c>
      <c r="G14" s="11">
        <f>(C14-F14)^2</f>
        <v/>
      </c>
    </row>
    <row r="15">
      <c r="B15" s="6">
        <f>$B$6</f>
        <v/>
      </c>
      <c r="C15" s="5">
        <f>$D$6</f>
        <v/>
      </c>
      <c r="D15" s="5">
        <f>B15^2</f>
        <v/>
      </c>
      <c r="E15" s="5">
        <f>B15*C15</f>
        <v/>
      </c>
      <c r="F15" s="5">
        <f>B15*$C$29</f>
        <v/>
      </c>
      <c r="G15" s="11">
        <f>(C15-F15)^2</f>
        <v/>
      </c>
    </row>
    <row r="16">
      <c r="B16" s="6">
        <f>$B$6</f>
        <v/>
      </c>
      <c r="C16" s="5">
        <f>$E$6</f>
        <v/>
      </c>
      <c r="D16" s="5">
        <f>B16^2</f>
        <v/>
      </c>
      <c r="E16" s="5">
        <f>B16*C16</f>
        <v/>
      </c>
      <c r="F16" s="5">
        <f>B16*$C$29</f>
        <v/>
      </c>
      <c r="G16" s="11">
        <f>(C16-F16)^2</f>
        <v/>
      </c>
    </row>
    <row r="17">
      <c r="B17" s="6">
        <f>$B$7</f>
        <v/>
      </c>
      <c r="C17" s="5">
        <f>$C$7</f>
        <v/>
      </c>
      <c r="D17" s="5">
        <f>B17^2</f>
        <v/>
      </c>
      <c r="E17" s="5">
        <f>B17*C17</f>
        <v/>
      </c>
      <c r="F17" s="5">
        <f>B17*$C$29</f>
        <v/>
      </c>
      <c r="G17" s="11">
        <f>(C17-F17)^2</f>
        <v/>
      </c>
    </row>
    <row r="18">
      <c r="B18" s="6">
        <f>$B$7</f>
        <v/>
      </c>
      <c r="C18" s="5">
        <f>$D$7</f>
        <v/>
      </c>
      <c r="D18" s="5">
        <f>B18^2</f>
        <v/>
      </c>
      <c r="E18" s="5">
        <f>B18*C18</f>
        <v/>
      </c>
      <c r="F18" s="5">
        <f>B18*$C$29</f>
        <v/>
      </c>
      <c r="G18" s="11">
        <f>(C18-F18)^2</f>
        <v/>
      </c>
    </row>
    <row r="19">
      <c r="B19" s="6">
        <f>$B$7</f>
        <v/>
      </c>
      <c r="C19" s="5">
        <f>$E$7</f>
        <v/>
      </c>
      <c r="D19" s="5">
        <f>B19^2</f>
        <v/>
      </c>
      <c r="E19" s="5">
        <f>B19*C19</f>
        <v/>
      </c>
      <c r="F19" s="5">
        <f>B19*$C$29</f>
        <v/>
      </c>
      <c r="G19" s="11">
        <f>(C19-F19)^2</f>
        <v/>
      </c>
    </row>
    <row r="20">
      <c r="B20" s="6">
        <f>$B$8</f>
        <v/>
      </c>
      <c r="C20" s="5">
        <f>$C$8</f>
        <v/>
      </c>
      <c r="D20" s="5">
        <f>B20^2</f>
        <v/>
      </c>
      <c r="E20" s="5">
        <f>B20*C20</f>
        <v/>
      </c>
      <c r="F20" s="5">
        <f>B20*$C$29</f>
        <v/>
      </c>
      <c r="G20" s="11">
        <f>(C20-F20)^2</f>
        <v/>
      </c>
    </row>
    <row r="21">
      <c r="B21" s="6">
        <f>$B$8</f>
        <v/>
      </c>
      <c r="C21" s="5">
        <f>$D$8</f>
        <v/>
      </c>
      <c r="D21" s="5">
        <f>B21^2</f>
        <v/>
      </c>
      <c r="E21" s="5">
        <f>B21*C21</f>
        <v/>
      </c>
      <c r="F21" s="5">
        <f>B21*$C$29</f>
        <v/>
      </c>
      <c r="G21" s="11">
        <f>(C21-F21)^2</f>
        <v/>
      </c>
    </row>
    <row r="22">
      <c r="B22" s="6">
        <f>$B$8</f>
        <v/>
      </c>
      <c r="C22" s="5">
        <f>$E$8</f>
        <v/>
      </c>
      <c r="D22" s="5">
        <f>B22^2</f>
        <v/>
      </c>
      <c r="E22" s="5">
        <f>B22*C22</f>
        <v/>
      </c>
      <c r="F22" s="5">
        <f>B22*$C$29</f>
        <v/>
      </c>
      <c r="G22" s="11">
        <f>(C22-F22)^2</f>
        <v/>
      </c>
    </row>
    <row r="23">
      <c r="B23" s="6">
        <f>$B$9</f>
        <v/>
      </c>
      <c r="C23" s="5">
        <f>$C$9</f>
        <v/>
      </c>
      <c r="D23" s="5">
        <f>B23^2</f>
        <v/>
      </c>
      <c r="E23" s="5">
        <f>B23*C23</f>
        <v/>
      </c>
      <c r="F23" s="5">
        <f>B23*$C$29</f>
        <v/>
      </c>
      <c r="G23" s="11">
        <f>(C23-F23)^2</f>
        <v/>
      </c>
    </row>
    <row r="24">
      <c r="B24" s="6">
        <f>$B$9</f>
        <v/>
      </c>
      <c r="C24" s="5">
        <f>$D$9</f>
        <v/>
      </c>
      <c r="D24" s="5">
        <f>B24^2</f>
        <v/>
      </c>
      <c r="E24" s="5">
        <f>B24*C24</f>
        <v/>
      </c>
      <c r="F24" s="5">
        <f>B24*$C$29</f>
        <v/>
      </c>
      <c r="G24" s="11">
        <f>(C24-F24)^2</f>
        <v/>
      </c>
    </row>
    <row r="25">
      <c r="B25" s="6">
        <f>$B$9</f>
        <v/>
      </c>
      <c r="C25" s="5">
        <f>$E$9</f>
        <v/>
      </c>
      <c r="D25" s="5">
        <f>B25^2</f>
        <v/>
      </c>
      <c r="E25" s="5">
        <f>B25*C25</f>
        <v/>
      </c>
      <c r="F25" s="5">
        <f>B25*$C$29</f>
        <v/>
      </c>
      <c r="G25" s="11">
        <f>(C25-F25)^2</f>
        <v/>
      </c>
    </row>
    <row r="26">
      <c r="A26" s="12" t="inlineStr">
        <is>
          <t>Сумма (Σ)</t>
        </is>
      </c>
      <c r="B26" s="13">
        <f>SUM(B14:B25)</f>
        <v/>
      </c>
      <c r="C26" s="14">
        <f>SUM(C14:C25)</f>
        <v/>
      </c>
      <c r="D26" s="14">
        <f>SUM(D14:D25)</f>
        <v/>
      </c>
      <c r="E26" s="14">
        <f>SUM(E14:E25)</f>
        <v/>
      </c>
      <c r="F26" s="12" t="n"/>
      <c r="G26" s="15">
        <f>SUM(G14:G25)</f>
        <v/>
      </c>
    </row>
    <row r="27">
      <c r="A27" s="12" t="inlineStr">
        <is>
          <t>Сумма в квадрате (Σ²)</t>
        </is>
      </c>
      <c r="B27" s="13">
        <f>B26^2</f>
        <v/>
      </c>
      <c r="C27" s="14">
        <f>C26^2</f>
        <v/>
      </c>
    </row>
    <row r="28">
      <c r="B28" s="16" t="inlineStr">
        <is>
          <t>Метрологические параметры регрессии (S = k*C)</t>
        </is>
      </c>
    </row>
    <row r="29">
      <c r="B29" s="17" t="inlineStr">
        <is>
          <t>k (slope)</t>
        </is>
      </c>
      <c r="C29" s="18">
        <f>E26/D26</f>
        <v/>
      </c>
    </row>
    <row r="30">
      <c r="B30" s="19" t="inlineStr">
        <is>
          <t>S(y)^2</t>
        </is>
      </c>
      <c r="C30" s="20">
        <f>G26/(12-1)</f>
        <v/>
      </c>
    </row>
    <row r="31">
      <c r="B31" s="19" t="inlineStr">
        <is>
          <t>S(y)</t>
        </is>
      </c>
      <c r="C31" s="20">
        <f>SQRT(C30)</f>
        <v/>
      </c>
    </row>
    <row r="32">
      <c r="B32" s="19" t="inlineStr">
        <is>
          <t>S(k)^2</t>
        </is>
      </c>
      <c r="C32" s="21">
        <f>C30/D26</f>
        <v/>
      </c>
    </row>
    <row r="33">
      <c r="B33" s="19" t="inlineStr">
        <is>
          <t>S(k)</t>
        </is>
      </c>
      <c r="C33" s="22">
        <f>SQRT(C32)</f>
        <v/>
      </c>
    </row>
    <row r="34">
      <c r="B34" s="19" t="inlineStr">
        <is>
          <t>t(0.95, 11)</t>
        </is>
      </c>
      <c r="C34" s="23">
        <f>T.INV.2T(1-0.95, 12-1)</f>
        <v/>
      </c>
    </row>
    <row r="35">
      <c r="B35" s="19" t="inlineStr">
        <is>
          <t>Dk</t>
        </is>
      </c>
      <c r="C35" s="22">
        <f>C34*C33</f>
        <v/>
      </c>
    </row>
    <row r="36">
      <c r="B36" s="17" t="inlineStr">
        <is>
          <t>R^2</t>
        </is>
      </c>
      <c r="C36" s="18">
        <f>RSQ(C14:C25, B14:B25)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26" customWidth="1" min="3" max="3"/>
    <col width="26" customWidth="1" min="4" max="4"/>
    <col width="26" customWidth="1" min="5" max="5"/>
    <col width="18" customWidth="1" min="6" max="6"/>
    <col width="40" customWidth="1" min="7" max="7"/>
  </cols>
  <sheetData>
    <row r="1"/>
    <row r="2">
      <c r="B2" s="7" t="inlineStr">
        <is>
          <t>Метрологическая обработка: Фосфат-ион (модель S = k*C, R ~ 0.999x)</t>
        </is>
      </c>
    </row>
    <row r="3"/>
    <row r="4">
      <c r="B4" s="8" t="inlineStr">
        <is>
          <t>Сводная таблица параллельных определений</t>
        </is>
      </c>
    </row>
    <row r="5">
      <c r="B5" s="2" t="inlineStr">
        <is>
          <t>C, мг/дм3</t>
        </is>
      </c>
      <c r="C5" s="2" t="inlineStr">
        <is>
          <t>S1</t>
        </is>
      </c>
      <c r="D5" s="2" t="inlineStr">
        <is>
          <t>S2</t>
        </is>
      </c>
      <c r="E5" s="2" t="inlineStr">
        <is>
          <t>S3</t>
        </is>
      </c>
      <c r="F5" s="2" t="inlineStr">
        <is>
          <t>Sср</t>
        </is>
      </c>
      <c r="G5" s="2" t="inlineStr">
        <is>
          <t>t_m ср, мин</t>
        </is>
      </c>
    </row>
    <row r="6">
      <c r="B6" s="6">
        <f>'Исходные данные'!AD5</f>
        <v/>
      </c>
      <c r="C6" s="9">
        <f>'Исходные данные'!AC5</f>
        <v/>
      </c>
      <c r="D6" s="9">
        <f>'Исходные данные'!AC6</f>
        <v/>
      </c>
      <c r="E6" s="9">
        <f>'Исходные данные'!AC7</f>
        <v/>
      </c>
      <c r="F6" s="9">
        <f>AVERAGE(C6:E6)</f>
        <v/>
      </c>
      <c r="G6" s="10">
        <f>AVERAGE('Исходные данные'!AA5:AA7)</f>
        <v/>
      </c>
    </row>
    <row r="7">
      <c r="B7" s="6">
        <f>'Исходные данные'!AD8</f>
        <v/>
      </c>
      <c r="C7" s="9">
        <f>'Исходные данные'!AC8</f>
        <v/>
      </c>
      <c r="D7" s="9">
        <f>'Исходные данные'!AC9</f>
        <v/>
      </c>
      <c r="E7" s="9">
        <f>'Исходные данные'!AC10</f>
        <v/>
      </c>
      <c r="F7" s="9">
        <f>AVERAGE(C7:E7)</f>
        <v/>
      </c>
      <c r="G7" s="10">
        <f>AVERAGE('Исходные данные'!AA8:AA10)</f>
        <v/>
      </c>
    </row>
    <row r="8">
      <c r="B8" s="6">
        <f>'Исходные данные'!AD11</f>
        <v/>
      </c>
      <c r="C8" s="9">
        <f>'Исходные данные'!AC11</f>
        <v/>
      </c>
      <c r="D8" s="9">
        <f>'Исходные данные'!AC12</f>
        <v/>
      </c>
      <c r="E8" s="9">
        <f>'Исходные данные'!AC13</f>
        <v/>
      </c>
      <c r="F8" s="9">
        <f>AVERAGE(C8:E8)</f>
        <v/>
      </c>
      <c r="G8" s="10">
        <f>AVERAGE('Исходные данные'!AA11:AA13)</f>
        <v/>
      </c>
    </row>
    <row r="9">
      <c r="B9" s="6">
        <f>'Исходные данные'!AD14</f>
        <v/>
      </c>
      <c r="C9" s="9">
        <f>'Исходные данные'!AC14</f>
        <v/>
      </c>
      <c r="D9" s="9">
        <f>'Исходные данные'!AC15</f>
        <v/>
      </c>
      <c r="E9" s="9">
        <f>'Исходные данные'!AC16</f>
        <v/>
      </c>
      <c r="F9" s="9">
        <f>AVERAGE(C9:E9)</f>
        <v/>
      </c>
      <c r="G9" s="10">
        <f>AVERAGE('Исходные данные'!AA14:AA16)</f>
        <v/>
      </c>
    </row>
    <row r="10"/>
    <row r="11"/>
    <row r="12">
      <c r="B12" s="8" t="inlineStr">
        <is>
          <t>Расчет параметров калибровочной прямой методом наименьших квадратов (МНК, модель S = k*C)</t>
        </is>
      </c>
    </row>
    <row r="13">
      <c r="B13" s="2" t="inlineStr">
        <is>
          <t>C (xi)</t>
        </is>
      </c>
      <c r="C13" s="2" t="inlineStr">
        <is>
          <t>S (yi)</t>
        </is>
      </c>
      <c r="D13" s="2" t="inlineStr">
        <is>
          <t>C^2 (xi^2)</t>
        </is>
      </c>
      <c r="E13" s="2" t="inlineStr">
        <is>
          <t>C*S (xi*yi)</t>
        </is>
      </c>
      <c r="F13" s="2" t="inlineStr">
        <is>
          <t>S_расч (y_расч)</t>
        </is>
      </c>
      <c r="G13" s="2" t="inlineStr">
        <is>
          <t>(yi-y_расч)^2</t>
        </is>
      </c>
    </row>
    <row r="14">
      <c r="B14" s="6">
        <f>$B$6</f>
        <v/>
      </c>
      <c r="C14" s="5">
        <f>$C$6</f>
        <v/>
      </c>
      <c r="D14" s="5">
        <f>B14^2</f>
        <v/>
      </c>
      <c r="E14" s="5">
        <f>B14*C14</f>
        <v/>
      </c>
      <c r="F14" s="5">
        <f>B14*$C$29</f>
        <v/>
      </c>
      <c r="G14" s="11">
        <f>(C14-F14)^2</f>
        <v/>
      </c>
    </row>
    <row r="15">
      <c r="B15" s="6">
        <f>$B$6</f>
        <v/>
      </c>
      <c r="C15" s="5">
        <f>$D$6</f>
        <v/>
      </c>
      <c r="D15" s="5">
        <f>B15^2</f>
        <v/>
      </c>
      <c r="E15" s="5">
        <f>B15*C15</f>
        <v/>
      </c>
      <c r="F15" s="5">
        <f>B15*$C$29</f>
        <v/>
      </c>
      <c r="G15" s="11">
        <f>(C15-F15)^2</f>
        <v/>
      </c>
    </row>
    <row r="16">
      <c r="B16" s="6">
        <f>$B$6</f>
        <v/>
      </c>
      <c r="C16" s="5">
        <f>$E$6</f>
        <v/>
      </c>
      <c r="D16" s="5">
        <f>B16^2</f>
        <v/>
      </c>
      <c r="E16" s="5">
        <f>B16*C16</f>
        <v/>
      </c>
      <c r="F16" s="5">
        <f>B16*$C$29</f>
        <v/>
      </c>
      <c r="G16" s="11">
        <f>(C16-F16)^2</f>
        <v/>
      </c>
    </row>
    <row r="17">
      <c r="B17" s="6">
        <f>$B$7</f>
        <v/>
      </c>
      <c r="C17" s="5">
        <f>$C$7</f>
        <v/>
      </c>
      <c r="D17" s="5">
        <f>B17^2</f>
        <v/>
      </c>
      <c r="E17" s="5">
        <f>B17*C17</f>
        <v/>
      </c>
      <c r="F17" s="5">
        <f>B17*$C$29</f>
        <v/>
      </c>
      <c r="G17" s="11">
        <f>(C17-F17)^2</f>
        <v/>
      </c>
    </row>
    <row r="18">
      <c r="B18" s="6">
        <f>$B$7</f>
        <v/>
      </c>
      <c r="C18" s="5">
        <f>$D$7</f>
        <v/>
      </c>
      <c r="D18" s="5">
        <f>B18^2</f>
        <v/>
      </c>
      <c r="E18" s="5">
        <f>B18*C18</f>
        <v/>
      </c>
      <c r="F18" s="5">
        <f>B18*$C$29</f>
        <v/>
      </c>
      <c r="G18" s="11">
        <f>(C18-F18)^2</f>
        <v/>
      </c>
    </row>
    <row r="19">
      <c r="B19" s="6">
        <f>$B$7</f>
        <v/>
      </c>
      <c r="C19" s="5">
        <f>$E$7</f>
        <v/>
      </c>
      <c r="D19" s="5">
        <f>B19^2</f>
        <v/>
      </c>
      <c r="E19" s="5">
        <f>B19*C19</f>
        <v/>
      </c>
      <c r="F19" s="5">
        <f>B19*$C$29</f>
        <v/>
      </c>
      <c r="G19" s="11">
        <f>(C19-F19)^2</f>
        <v/>
      </c>
    </row>
    <row r="20">
      <c r="B20" s="6">
        <f>$B$8</f>
        <v/>
      </c>
      <c r="C20" s="5">
        <f>$C$8</f>
        <v/>
      </c>
      <c r="D20" s="5">
        <f>B20^2</f>
        <v/>
      </c>
      <c r="E20" s="5">
        <f>B20*C20</f>
        <v/>
      </c>
      <c r="F20" s="5">
        <f>B20*$C$29</f>
        <v/>
      </c>
      <c r="G20" s="11">
        <f>(C20-F20)^2</f>
        <v/>
      </c>
    </row>
    <row r="21">
      <c r="B21" s="6">
        <f>$B$8</f>
        <v/>
      </c>
      <c r="C21" s="5">
        <f>$D$8</f>
        <v/>
      </c>
      <c r="D21" s="5">
        <f>B21^2</f>
        <v/>
      </c>
      <c r="E21" s="5">
        <f>B21*C21</f>
        <v/>
      </c>
      <c r="F21" s="5">
        <f>B21*$C$29</f>
        <v/>
      </c>
      <c r="G21" s="11">
        <f>(C21-F21)^2</f>
        <v/>
      </c>
    </row>
    <row r="22">
      <c r="B22" s="6">
        <f>$B$8</f>
        <v/>
      </c>
      <c r="C22" s="5">
        <f>$E$8</f>
        <v/>
      </c>
      <c r="D22" s="5">
        <f>B22^2</f>
        <v/>
      </c>
      <c r="E22" s="5">
        <f>B22*C22</f>
        <v/>
      </c>
      <c r="F22" s="5">
        <f>B22*$C$29</f>
        <v/>
      </c>
      <c r="G22" s="11">
        <f>(C22-F22)^2</f>
        <v/>
      </c>
    </row>
    <row r="23">
      <c r="B23" s="6">
        <f>$B$9</f>
        <v/>
      </c>
      <c r="C23" s="5">
        <f>$C$9</f>
        <v/>
      </c>
      <c r="D23" s="5">
        <f>B23^2</f>
        <v/>
      </c>
      <c r="E23" s="5">
        <f>B23*C23</f>
        <v/>
      </c>
      <c r="F23" s="5">
        <f>B23*$C$29</f>
        <v/>
      </c>
      <c r="G23" s="11">
        <f>(C23-F23)^2</f>
        <v/>
      </c>
    </row>
    <row r="24">
      <c r="B24" s="6">
        <f>$B$9</f>
        <v/>
      </c>
      <c r="C24" s="5">
        <f>$D$9</f>
        <v/>
      </c>
      <c r="D24" s="5">
        <f>B24^2</f>
        <v/>
      </c>
      <c r="E24" s="5">
        <f>B24*C24</f>
        <v/>
      </c>
      <c r="F24" s="5">
        <f>B24*$C$29</f>
        <v/>
      </c>
      <c r="G24" s="11">
        <f>(C24-F24)^2</f>
        <v/>
      </c>
    </row>
    <row r="25">
      <c r="B25" s="6">
        <f>$B$9</f>
        <v/>
      </c>
      <c r="C25" s="5">
        <f>$E$9</f>
        <v/>
      </c>
      <c r="D25" s="5">
        <f>B25^2</f>
        <v/>
      </c>
      <c r="E25" s="5">
        <f>B25*C25</f>
        <v/>
      </c>
      <c r="F25" s="5">
        <f>B25*$C$29</f>
        <v/>
      </c>
      <c r="G25" s="11">
        <f>(C25-F25)^2</f>
        <v/>
      </c>
    </row>
    <row r="26">
      <c r="A26" s="12" t="inlineStr">
        <is>
          <t>Сумма (Σ)</t>
        </is>
      </c>
      <c r="B26" s="13">
        <f>SUM(B14:B25)</f>
        <v/>
      </c>
      <c r="C26" s="14">
        <f>SUM(C14:C25)</f>
        <v/>
      </c>
      <c r="D26" s="14">
        <f>SUM(D14:D25)</f>
        <v/>
      </c>
      <c r="E26" s="14">
        <f>SUM(E14:E25)</f>
        <v/>
      </c>
      <c r="F26" s="12" t="n"/>
      <c r="G26" s="15">
        <f>SUM(G14:G25)</f>
        <v/>
      </c>
    </row>
    <row r="27">
      <c r="A27" s="12" t="inlineStr">
        <is>
          <t>Сумма в квадрате (Σ²)</t>
        </is>
      </c>
      <c r="B27" s="13">
        <f>B26^2</f>
        <v/>
      </c>
      <c r="C27" s="14">
        <f>C26^2</f>
        <v/>
      </c>
    </row>
    <row r="28">
      <c r="B28" s="16" t="inlineStr">
        <is>
          <t>Метрологические параметры регрессии (S = k*C)</t>
        </is>
      </c>
    </row>
    <row r="29">
      <c r="B29" s="17" t="inlineStr">
        <is>
          <t>k (slope)</t>
        </is>
      </c>
      <c r="C29" s="18">
        <f>E26/D26</f>
        <v/>
      </c>
    </row>
    <row r="30">
      <c r="B30" s="19" t="inlineStr">
        <is>
          <t>S(y)^2</t>
        </is>
      </c>
      <c r="C30" s="20">
        <f>G26/(12-1)</f>
        <v/>
      </c>
    </row>
    <row r="31">
      <c r="B31" s="19" t="inlineStr">
        <is>
          <t>S(y)</t>
        </is>
      </c>
      <c r="C31" s="20">
        <f>SQRT(C30)</f>
        <v/>
      </c>
    </row>
    <row r="32">
      <c r="B32" s="19" t="inlineStr">
        <is>
          <t>S(k)^2</t>
        </is>
      </c>
      <c r="C32" s="21">
        <f>C30/D26</f>
        <v/>
      </c>
    </row>
    <row r="33">
      <c r="B33" s="19" t="inlineStr">
        <is>
          <t>S(k)</t>
        </is>
      </c>
      <c r="C33" s="22">
        <f>SQRT(C32)</f>
        <v/>
      </c>
    </row>
    <row r="34">
      <c r="B34" s="19" t="inlineStr">
        <is>
          <t>t(0.95, 11)</t>
        </is>
      </c>
      <c r="C34" s="23">
        <f>T.INV.2T(1-0.95, 12-1)</f>
        <v/>
      </c>
    </row>
    <row r="35">
      <c r="B35" s="19" t="inlineStr">
        <is>
          <t>Dk</t>
        </is>
      </c>
      <c r="C35" s="22">
        <f>C34*C33</f>
        <v/>
      </c>
    </row>
    <row r="36">
      <c r="B36" s="17" t="inlineStr">
        <is>
          <t>R^2</t>
        </is>
      </c>
      <c r="C36" s="18">
        <f>RSQ(C14:C25, B14:B25)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2" customWidth="1" min="2" max="2"/>
    <col width="26" customWidth="1" min="3" max="3"/>
    <col width="26" customWidth="1" min="4" max="4"/>
    <col width="26" customWidth="1" min="5" max="5"/>
    <col width="20" customWidth="1" min="6" max="6"/>
    <col width="40" customWidth="1" min="7" max="7"/>
  </cols>
  <sheetData>
    <row r="1"/>
    <row r="2">
      <c r="B2" s="7" t="inlineStr">
        <is>
          <t>Метрологическая обработка: Хлорид-ион (модель S = k*C, R ~ 0.999x)</t>
        </is>
      </c>
    </row>
    <row r="3"/>
    <row r="4">
      <c r="B4" s="8" t="inlineStr">
        <is>
          <t>Сводная таблица параллельных определений</t>
        </is>
      </c>
    </row>
    <row r="5">
      <c r="B5" s="2" t="inlineStr">
        <is>
          <t>C, мг/дм3</t>
        </is>
      </c>
      <c r="C5" s="2" t="inlineStr">
        <is>
          <t>S1</t>
        </is>
      </c>
      <c r="D5" s="2" t="inlineStr">
        <is>
          <t>S2</t>
        </is>
      </c>
      <c r="E5" s="2" t="inlineStr">
        <is>
          <t>S3</t>
        </is>
      </c>
      <c r="F5" s="2" t="inlineStr">
        <is>
          <t>Sср</t>
        </is>
      </c>
      <c r="G5" s="2" t="inlineStr">
        <is>
          <t>t_m ср, мин</t>
        </is>
      </c>
    </row>
    <row r="6">
      <c r="B6" s="6">
        <f>'Исходные данные'!AJ5</f>
        <v/>
      </c>
      <c r="C6" s="9">
        <f>'Исходные данные'!AI5</f>
        <v/>
      </c>
      <c r="D6" s="9">
        <f>'Исходные данные'!AI6</f>
        <v/>
      </c>
      <c r="E6" s="9">
        <f>'Исходные данные'!AI7</f>
        <v/>
      </c>
      <c r="F6" s="9">
        <f>AVERAGE(C6:E6)</f>
        <v/>
      </c>
      <c r="G6" s="10">
        <f>AVERAGE('Исходные данные'!AG5:AG7)</f>
        <v/>
      </c>
    </row>
    <row r="7">
      <c r="B7" s="6">
        <f>'Исходные данные'!AJ8</f>
        <v/>
      </c>
      <c r="C7" s="9">
        <f>'Исходные данные'!AI8</f>
        <v/>
      </c>
      <c r="D7" s="9">
        <f>'Исходные данные'!AI9</f>
        <v/>
      </c>
      <c r="E7" s="9">
        <f>'Исходные данные'!AI10</f>
        <v/>
      </c>
      <c r="F7" s="9">
        <f>AVERAGE(C7:E7)</f>
        <v/>
      </c>
      <c r="G7" s="10">
        <f>AVERAGE('Исходные данные'!AG8:AG10)</f>
        <v/>
      </c>
    </row>
    <row r="8">
      <c r="B8" s="6">
        <f>'Исходные данные'!AJ11</f>
        <v/>
      </c>
      <c r="C8" s="9">
        <f>'Исходные данные'!AI11</f>
        <v/>
      </c>
      <c r="D8" s="9">
        <f>'Исходные данные'!AI12</f>
        <v/>
      </c>
      <c r="E8" s="9">
        <f>'Исходные данные'!AI13</f>
        <v/>
      </c>
      <c r="F8" s="9">
        <f>AVERAGE(C8:E8)</f>
        <v/>
      </c>
      <c r="G8" s="10">
        <f>AVERAGE('Исходные данные'!AG11:AG13)</f>
        <v/>
      </c>
    </row>
    <row r="9">
      <c r="B9" s="6">
        <f>'Исходные данные'!AJ14</f>
        <v/>
      </c>
      <c r="C9" s="9">
        <f>'Исходные данные'!AI14</f>
        <v/>
      </c>
      <c r="D9" s="9">
        <f>'Исходные данные'!AI15</f>
        <v/>
      </c>
      <c r="E9" s="9">
        <f>'Исходные данные'!AI16</f>
        <v/>
      </c>
      <c r="F9" s="9">
        <f>AVERAGE(C9:E9)</f>
        <v/>
      </c>
      <c r="G9" s="10">
        <f>AVERAGE('Исходные данные'!AG14:AG16)</f>
        <v/>
      </c>
    </row>
    <row r="10">
      <c r="B10" s="6">
        <f>'Исходные данные'!AJ17</f>
        <v/>
      </c>
      <c r="C10" s="9">
        <f>'Исходные данные'!AI17</f>
        <v/>
      </c>
      <c r="D10" s="9">
        <f>'Исходные данные'!AI18</f>
        <v/>
      </c>
      <c r="E10" s="9">
        <f>'Исходные данные'!AI19</f>
        <v/>
      </c>
      <c r="F10" s="9">
        <f>AVERAGE(C10:E10)</f>
        <v/>
      </c>
      <c r="G10" s="10">
        <f>AVERAGE('Исходные данные'!AG17:AG19)</f>
        <v/>
      </c>
    </row>
    <row r="11">
      <c r="B11" s="6">
        <f>'Исходные данные'!AJ20</f>
        <v/>
      </c>
      <c r="C11" s="9">
        <f>'Исходные данные'!AI20</f>
        <v/>
      </c>
      <c r="D11" s="9">
        <f>'Исходные данные'!AI21</f>
        <v/>
      </c>
      <c r="E11" s="9">
        <f>'Исходные данные'!AI22</f>
        <v/>
      </c>
      <c r="F11" s="9">
        <f>AVERAGE(C11:E11)</f>
        <v/>
      </c>
      <c r="G11" s="10">
        <f>AVERAGE('Исходные данные'!AG20:AG22)</f>
        <v/>
      </c>
    </row>
    <row r="12">
      <c r="B12" s="8" t="inlineStr">
        <is>
          <t>Расчет параметров калибровочной прямой методом наименьших квадратов (МНК, модель S = k*C)</t>
        </is>
      </c>
    </row>
    <row r="13">
      <c r="B13" s="2" t="inlineStr">
        <is>
          <t>C (xi)</t>
        </is>
      </c>
      <c r="C13" s="2" t="inlineStr">
        <is>
          <t>S (yi)</t>
        </is>
      </c>
      <c r="D13" s="2" t="inlineStr">
        <is>
          <t>C^2 (xi^2)</t>
        </is>
      </c>
      <c r="E13" s="2" t="inlineStr">
        <is>
          <t>C*S (xi*yi)</t>
        </is>
      </c>
      <c r="F13" s="2" t="inlineStr">
        <is>
          <t>S_расч (y_расч)</t>
        </is>
      </c>
      <c r="G13" s="2" t="inlineStr">
        <is>
          <t>(yi-y_расч)^2</t>
        </is>
      </c>
    </row>
    <row r="14">
      <c r="B14" s="6">
        <f>$B$6</f>
        <v/>
      </c>
      <c r="C14" s="5">
        <f>$C$6</f>
        <v/>
      </c>
      <c r="D14" s="5">
        <f>B14^2</f>
        <v/>
      </c>
      <c r="E14" s="5">
        <f>B14*C14</f>
        <v/>
      </c>
      <c r="F14" s="5">
        <f>B14*$C$35</f>
        <v/>
      </c>
      <c r="G14" s="11">
        <f>(C14-F14)^2</f>
        <v/>
      </c>
    </row>
    <row r="15">
      <c r="B15" s="6">
        <f>$B$6</f>
        <v/>
      </c>
      <c r="C15" s="5">
        <f>$D$6</f>
        <v/>
      </c>
      <c r="D15" s="5">
        <f>B15^2</f>
        <v/>
      </c>
      <c r="E15" s="5">
        <f>B15*C15</f>
        <v/>
      </c>
      <c r="F15" s="5">
        <f>B15*$C$35</f>
        <v/>
      </c>
      <c r="G15" s="11">
        <f>(C15-F15)^2</f>
        <v/>
      </c>
    </row>
    <row r="16">
      <c r="B16" s="6">
        <f>$B$6</f>
        <v/>
      </c>
      <c r="C16" s="5">
        <f>$E$6</f>
        <v/>
      </c>
      <c r="D16" s="5">
        <f>B16^2</f>
        <v/>
      </c>
      <c r="E16" s="5">
        <f>B16*C16</f>
        <v/>
      </c>
      <c r="F16" s="5">
        <f>B16*$C$35</f>
        <v/>
      </c>
      <c r="G16" s="11">
        <f>(C16-F16)^2</f>
        <v/>
      </c>
    </row>
    <row r="17">
      <c r="B17" s="6">
        <f>$B$7</f>
        <v/>
      </c>
      <c r="C17" s="5">
        <f>$C$7</f>
        <v/>
      </c>
      <c r="D17" s="5">
        <f>B17^2</f>
        <v/>
      </c>
      <c r="E17" s="5">
        <f>B17*C17</f>
        <v/>
      </c>
      <c r="F17" s="5">
        <f>B17*$C$35</f>
        <v/>
      </c>
      <c r="G17" s="11">
        <f>(C17-F17)^2</f>
        <v/>
      </c>
    </row>
    <row r="18">
      <c r="B18" s="6">
        <f>$B$7</f>
        <v/>
      </c>
      <c r="C18" s="5">
        <f>$D$7</f>
        <v/>
      </c>
      <c r="D18" s="5">
        <f>B18^2</f>
        <v/>
      </c>
      <c r="E18" s="5">
        <f>B18*C18</f>
        <v/>
      </c>
      <c r="F18" s="5">
        <f>B18*$C$35</f>
        <v/>
      </c>
      <c r="G18" s="11">
        <f>(C18-F18)^2</f>
        <v/>
      </c>
    </row>
    <row r="19">
      <c r="B19" s="6">
        <f>$B$7</f>
        <v/>
      </c>
      <c r="C19" s="5">
        <f>$E$7</f>
        <v/>
      </c>
      <c r="D19" s="5">
        <f>B19^2</f>
        <v/>
      </c>
      <c r="E19" s="5">
        <f>B19*C19</f>
        <v/>
      </c>
      <c r="F19" s="5">
        <f>B19*$C$35</f>
        <v/>
      </c>
      <c r="G19" s="11">
        <f>(C19-F19)^2</f>
        <v/>
      </c>
    </row>
    <row r="20">
      <c r="B20" s="6">
        <f>$B$8</f>
        <v/>
      </c>
      <c r="C20" s="5">
        <f>$C$8</f>
        <v/>
      </c>
      <c r="D20" s="5">
        <f>B20^2</f>
        <v/>
      </c>
      <c r="E20" s="5">
        <f>B20*C20</f>
        <v/>
      </c>
      <c r="F20" s="5">
        <f>B20*$C$35</f>
        <v/>
      </c>
      <c r="G20" s="11">
        <f>(C20-F20)^2</f>
        <v/>
      </c>
    </row>
    <row r="21">
      <c r="B21" s="6">
        <f>$B$8</f>
        <v/>
      </c>
      <c r="C21" s="5">
        <f>$D$8</f>
        <v/>
      </c>
      <c r="D21" s="5">
        <f>B21^2</f>
        <v/>
      </c>
      <c r="E21" s="5">
        <f>B21*C21</f>
        <v/>
      </c>
      <c r="F21" s="5">
        <f>B21*$C$35</f>
        <v/>
      </c>
      <c r="G21" s="11">
        <f>(C21-F21)^2</f>
        <v/>
      </c>
    </row>
    <row r="22">
      <c r="B22" s="6">
        <f>$B$8</f>
        <v/>
      </c>
      <c r="C22" s="5">
        <f>$E$8</f>
        <v/>
      </c>
      <c r="D22" s="5">
        <f>B22^2</f>
        <v/>
      </c>
      <c r="E22" s="5">
        <f>B22*C22</f>
        <v/>
      </c>
      <c r="F22" s="5">
        <f>B22*$C$35</f>
        <v/>
      </c>
      <c r="G22" s="11">
        <f>(C22-F22)^2</f>
        <v/>
      </c>
    </row>
    <row r="23">
      <c r="B23" s="6">
        <f>$B$9</f>
        <v/>
      </c>
      <c r="C23" s="5">
        <f>$C$9</f>
        <v/>
      </c>
      <c r="D23" s="5">
        <f>B23^2</f>
        <v/>
      </c>
      <c r="E23" s="5">
        <f>B23*C23</f>
        <v/>
      </c>
      <c r="F23" s="5">
        <f>B23*$C$35</f>
        <v/>
      </c>
      <c r="G23" s="11">
        <f>(C23-F23)^2</f>
        <v/>
      </c>
    </row>
    <row r="24">
      <c r="B24" s="6">
        <f>$B$9</f>
        <v/>
      </c>
      <c r="C24" s="5">
        <f>$D$9</f>
        <v/>
      </c>
      <c r="D24" s="5">
        <f>B24^2</f>
        <v/>
      </c>
      <c r="E24" s="5">
        <f>B24*C24</f>
        <v/>
      </c>
      <c r="F24" s="5">
        <f>B24*$C$35</f>
        <v/>
      </c>
      <c r="G24" s="11">
        <f>(C24-F24)^2</f>
        <v/>
      </c>
    </row>
    <row r="25">
      <c r="B25" s="6">
        <f>$B$9</f>
        <v/>
      </c>
      <c r="C25" s="5">
        <f>$E$9</f>
        <v/>
      </c>
      <c r="D25" s="5">
        <f>B25^2</f>
        <v/>
      </c>
      <c r="E25" s="5">
        <f>B25*C25</f>
        <v/>
      </c>
      <c r="F25" s="5">
        <f>B25*$C$35</f>
        <v/>
      </c>
      <c r="G25" s="11">
        <f>(C25-F25)^2</f>
        <v/>
      </c>
    </row>
    <row r="26">
      <c r="B26" s="6">
        <f>$B$10</f>
        <v/>
      </c>
      <c r="C26" s="5">
        <f>$C$10</f>
        <v/>
      </c>
      <c r="D26" s="5">
        <f>B26^2</f>
        <v/>
      </c>
      <c r="E26" s="5">
        <f>B26*C26</f>
        <v/>
      </c>
      <c r="F26" s="5">
        <f>B26*$C$35</f>
        <v/>
      </c>
      <c r="G26" s="11">
        <f>(C26-F26)^2</f>
        <v/>
      </c>
    </row>
    <row r="27">
      <c r="B27" s="6">
        <f>$B$10</f>
        <v/>
      </c>
      <c r="C27" s="5">
        <f>$D$10</f>
        <v/>
      </c>
      <c r="D27" s="5">
        <f>B27^2</f>
        <v/>
      </c>
      <c r="E27" s="5">
        <f>B27*C27</f>
        <v/>
      </c>
      <c r="F27" s="5">
        <f>B27*$C$35</f>
        <v/>
      </c>
      <c r="G27" s="11">
        <f>(C27-F27)^2</f>
        <v/>
      </c>
    </row>
    <row r="28">
      <c r="B28" s="6">
        <f>$B$10</f>
        <v/>
      </c>
      <c r="C28" s="5">
        <f>$E$10</f>
        <v/>
      </c>
      <c r="D28" s="5">
        <f>B28^2</f>
        <v/>
      </c>
      <c r="E28" s="5">
        <f>B28*C28</f>
        <v/>
      </c>
      <c r="F28" s="5">
        <f>B28*$C$35</f>
        <v/>
      </c>
      <c r="G28" s="11">
        <f>(C28-F28)^2</f>
        <v/>
      </c>
    </row>
    <row r="29">
      <c r="B29" s="6">
        <f>$B$11</f>
        <v/>
      </c>
      <c r="C29" s="5">
        <f>$C$11</f>
        <v/>
      </c>
      <c r="D29" s="5">
        <f>B29^2</f>
        <v/>
      </c>
      <c r="E29" s="5">
        <f>B29*C29</f>
        <v/>
      </c>
      <c r="F29" s="5">
        <f>B29*$C$35</f>
        <v/>
      </c>
      <c r="G29" s="11">
        <f>(C29-F29)^2</f>
        <v/>
      </c>
    </row>
    <row r="30">
      <c r="B30" s="6">
        <f>$B$11</f>
        <v/>
      </c>
      <c r="C30" s="5">
        <f>$D$11</f>
        <v/>
      </c>
      <c r="D30" s="5">
        <f>B30^2</f>
        <v/>
      </c>
      <c r="E30" s="5">
        <f>B30*C30</f>
        <v/>
      </c>
      <c r="F30" s="5">
        <f>B30*$C$35</f>
        <v/>
      </c>
      <c r="G30" s="11">
        <f>(C30-F30)^2</f>
        <v/>
      </c>
    </row>
    <row r="31">
      <c r="B31" s="6">
        <f>$B$11</f>
        <v/>
      </c>
      <c r="C31" s="5">
        <f>$E$11</f>
        <v/>
      </c>
      <c r="D31" s="5">
        <f>B31^2</f>
        <v/>
      </c>
      <c r="E31" s="5">
        <f>B31*C31</f>
        <v/>
      </c>
      <c r="F31" s="5">
        <f>B31*$C$35</f>
        <v/>
      </c>
      <c r="G31" s="11">
        <f>(C31-F31)^2</f>
        <v/>
      </c>
    </row>
    <row r="32">
      <c r="A32" s="12" t="inlineStr">
        <is>
          <t>Сумма (Σ)</t>
        </is>
      </c>
      <c r="B32" s="13">
        <f>SUM(B14:B31)</f>
        <v/>
      </c>
      <c r="C32" s="14">
        <f>SUM(C14:C31)</f>
        <v/>
      </c>
      <c r="D32" s="14">
        <f>SUM(D14:D31)</f>
        <v/>
      </c>
      <c r="E32" s="14">
        <f>SUM(E14:E31)</f>
        <v/>
      </c>
      <c r="F32" s="12" t="n"/>
      <c r="G32" s="15">
        <f>SUM(G14:G31)</f>
        <v/>
      </c>
    </row>
    <row r="33">
      <c r="A33" s="12" t="inlineStr">
        <is>
          <t>Сумма в квадрате (Σ²)</t>
        </is>
      </c>
      <c r="B33" s="13">
        <f>B32^2</f>
        <v/>
      </c>
      <c r="C33" s="14">
        <f>C32^2</f>
        <v/>
      </c>
    </row>
    <row r="34">
      <c r="B34" s="16" t="inlineStr">
        <is>
          <t>Метрологические параметры регрессии (S = k*C)</t>
        </is>
      </c>
    </row>
    <row r="35">
      <c r="B35" s="17" t="inlineStr">
        <is>
          <t>k (slope)</t>
        </is>
      </c>
      <c r="C35" s="18">
        <f>E32/D32</f>
        <v/>
      </c>
    </row>
    <row r="36">
      <c r="B36" s="19" t="inlineStr">
        <is>
          <t>S(y)^2</t>
        </is>
      </c>
      <c r="C36" s="20">
        <f>G32/(18-1)</f>
        <v/>
      </c>
    </row>
    <row r="37">
      <c r="B37" s="19" t="inlineStr">
        <is>
          <t>S(y)</t>
        </is>
      </c>
      <c r="C37" s="20">
        <f>SQRT(C36)</f>
        <v/>
      </c>
    </row>
    <row r="38">
      <c r="B38" s="19" t="inlineStr">
        <is>
          <t>S(k)^2</t>
        </is>
      </c>
      <c r="C38" s="21">
        <f>C36/D32</f>
        <v/>
      </c>
    </row>
    <row r="39">
      <c r="B39" s="19" t="inlineStr">
        <is>
          <t>S(k)</t>
        </is>
      </c>
      <c r="C39" s="22">
        <f>SQRT(C38)</f>
        <v/>
      </c>
    </row>
    <row r="40">
      <c r="B40" s="19" t="inlineStr">
        <is>
          <t>t(0.95, 17)</t>
        </is>
      </c>
      <c r="C40" s="23">
        <f>T.INV.2T(1-0.95, 18-1)</f>
        <v/>
      </c>
    </row>
    <row r="41">
      <c r="B41" s="19" t="inlineStr">
        <is>
          <t>Dk</t>
        </is>
      </c>
      <c r="C41" s="22">
        <f>C40*C39</f>
        <v/>
      </c>
    </row>
    <row r="42">
      <c r="B42" s="17" t="inlineStr">
        <is>
          <t>R^2</t>
        </is>
      </c>
      <c r="C42" s="18">
        <f>RSQ(C14:C31, B14:B31)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2026-06-02T18:02:54Z</dcterms:created>
  <dcterms:modified xsi:type="dcterms:W3CDTF">2026-06-02T18:02:54Z</dcterms:modified>
</cp:coreProperties>
</file>