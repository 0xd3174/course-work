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490\Desktop\Аналит. лабы\"/>
    </mc:Choice>
  </mc:AlternateContent>
  <xr:revisionPtr revIDLastSave="0" documentId="13_ncr:1_{C8489FC7-FBDA-4A6D-8716-381FD437D386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Спектр поглощения" sheetId="1" r:id="rId1"/>
    <sheet name="Кюветы" sheetId="2" r:id="rId2"/>
    <sheet name="ГГ" sheetId="3" r:id="rId3"/>
    <sheet name="МНК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C17" i="3"/>
  <c r="D11" i="3"/>
  <c r="D12" i="3"/>
  <c r="D13" i="3"/>
  <c r="D14" i="3"/>
  <c r="H37" i="4"/>
  <c r="G10" i="4"/>
  <c r="N8" i="3" l="1"/>
  <c r="N4" i="3"/>
  <c r="N5" i="3"/>
  <c r="N6" i="3"/>
  <c r="N7" i="3"/>
  <c r="N3" i="3"/>
  <c r="B4" i="3"/>
  <c r="G3" i="3"/>
  <c r="B5" i="3"/>
  <c r="H35" i="4"/>
  <c r="G8" i="3"/>
  <c r="G4" i="3"/>
  <c r="G5" i="3"/>
  <c r="G6" i="3"/>
  <c r="G7" i="3"/>
  <c r="B29" i="4" l="1"/>
  <c r="B17" i="4"/>
  <c r="C30" i="4"/>
  <c r="C31" i="4" s="1"/>
  <c r="C26" i="4"/>
  <c r="C27" i="4"/>
  <c r="C28" i="4"/>
  <c r="C29" i="4"/>
  <c r="C25" i="4"/>
  <c r="C21" i="4"/>
  <c r="C22" i="4"/>
  <c r="C23" i="4"/>
  <c r="C24" i="4"/>
  <c r="C20" i="4"/>
  <c r="C16" i="4"/>
  <c r="C17" i="4"/>
  <c r="C18" i="4"/>
  <c r="C19" i="4"/>
  <c r="C15" i="4"/>
  <c r="C11" i="4"/>
  <c r="C12" i="4"/>
  <c r="C13" i="4"/>
  <c r="C14" i="4"/>
  <c r="C10" i="4"/>
  <c r="B28" i="4"/>
  <c r="B27" i="4"/>
  <c r="B26" i="4"/>
  <c r="B25" i="4"/>
  <c r="B24" i="4"/>
  <c r="B23" i="4"/>
  <c r="B22" i="4"/>
  <c r="B21" i="4"/>
  <c r="B20" i="4"/>
  <c r="B19" i="4"/>
  <c r="B18" i="4"/>
  <c r="B16" i="4"/>
  <c r="B15" i="4"/>
  <c r="B14" i="4"/>
  <c r="B13" i="4"/>
  <c r="B12" i="4"/>
  <c r="B11" i="4"/>
  <c r="B10" i="4"/>
  <c r="M8" i="3"/>
  <c r="M4" i="3"/>
  <c r="M5" i="3"/>
  <c r="M6" i="3"/>
  <c r="M7" i="3"/>
  <c r="M3" i="3"/>
  <c r="L3" i="3"/>
  <c r="D15" i="3" l="1"/>
  <c r="E13" i="3" s="1"/>
  <c r="D10" i="4" a="1"/>
  <c r="D10" i="4" s="1"/>
  <c r="D30" i="4" s="1"/>
  <c r="D31" i="4" s="1"/>
  <c r="B30" i="4"/>
  <c r="B31" i="4" s="1"/>
  <c r="E10" i="4" a="1"/>
  <c r="E10" i="4" s="1"/>
  <c r="E30" i="4" s="1"/>
  <c r="E14" i="3" l="1"/>
  <c r="E12" i="3"/>
  <c r="E11" i="3"/>
  <c r="E31" i="4"/>
  <c r="B34" i="4"/>
  <c r="B33" i="4"/>
  <c r="L4" i="3"/>
  <c r="L5" i="3"/>
  <c r="L6" i="3"/>
  <c r="L7" i="3"/>
  <c r="G25" i="4" l="1"/>
  <c r="H25" i="4" s="1"/>
  <c r="G18" i="4"/>
  <c r="H18" i="4" s="1"/>
  <c r="G26" i="4"/>
  <c r="H26" i="4" s="1"/>
  <c r="G21" i="4"/>
  <c r="G15" i="4"/>
  <c r="G16" i="4"/>
  <c r="H16" i="4" s="1"/>
  <c r="G29" i="4"/>
  <c r="H29" i="4" s="1"/>
  <c r="G17" i="4"/>
  <c r="H17" i="4" s="1"/>
  <c r="G19" i="4"/>
  <c r="H19" i="4" s="1"/>
  <c r="G27" i="4"/>
  <c r="H27" i="4" s="1"/>
  <c r="G13" i="4"/>
  <c r="G20" i="4"/>
  <c r="H20" i="4" s="1"/>
  <c r="G28" i="4"/>
  <c r="H28" i="4" s="1"/>
  <c r="G22" i="4"/>
  <c r="H22" i="4" s="1"/>
  <c r="G11" i="4"/>
  <c r="H11" i="4" s="1"/>
  <c r="G12" i="4"/>
  <c r="G24" i="4"/>
  <c r="G14" i="4"/>
  <c r="H14" i="4" s="1"/>
  <c r="G23" i="4"/>
  <c r="H23" i="4" s="1"/>
  <c r="E15" i="3"/>
  <c r="H12" i="4"/>
  <c r="H13" i="4"/>
  <c r="H21" i="4"/>
  <c r="H15" i="4"/>
  <c r="H24" i="4"/>
  <c r="L8" i="3"/>
  <c r="C18" i="3" l="1"/>
  <c r="H10" i="4"/>
  <c r="H30" i="4" s="1"/>
  <c r="H33" i="4" s="1"/>
  <c r="G30" i="4"/>
  <c r="C20" i="3" l="1"/>
  <c r="C19" i="3"/>
  <c r="H34" i="4"/>
  <c r="J34" i="4" s="1"/>
  <c r="H38" i="4" s="1"/>
  <c r="J35" i="4"/>
  <c r="H3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<sst xmlns="http://schemas.openxmlformats.org/spreadsheetml/2006/main" count="57" uniqueCount="50">
  <si>
    <t>λ, нм</t>
  </si>
  <si>
    <t>А</t>
  </si>
  <si>
    <t>l, см</t>
  </si>
  <si>
    <t>A</t>
  </si>
  <si>
    <t>A1</t>
  </si>
  <si>
    <t>A2</t>
  </si>
  <si>
    <t>A3</t>
  </si>
  <si>
    <t>A4</t>
  </si>
  <si>
    <t>V(Ni), мл</t>
  </si>
  <si>
    <t>Aср</t>
  </si>
  <si>
    <t>m(Ni), мг</t>
  </si>
  <si>
    <t>Контрольная проба</t>
  </si>
  <si>
    <t>k=</t>
  </si>
  <si>
    <t>ε=</t>
  </si>
  <si>
    <t>l=</t>
  </si>
  <si>
    <t>M(Ni)=</t>
  </si>
  <si>
    <t>АсрМ</t>
  </si>
  <si>
    <t>С(Ni), моль/л</t>
  </si>
  <si>
    <t>εМ=</t>
  </si>
  <si>
    <t>C, моль/л</t>
  </si>
  <si>
    <t>А₁</t>
  </si>
  <si>
    <t>А₂</t>
  </si>
  <si>
    <t>А₃</t>
  </si>
  <si>
    <t>А₄</t>
  </si>
  <si>
    <t>C(xi)</t>
  </si>
  <si>
    <t>A(yi)</t>
  </si>
  <si>
    <t>C(xi)^2</t>
  </si>
  <si>
    <t>C(xi)*A(yi)</t>
  </si>
  <si>
    <t>Σ=</t>
  </si>
  <si>
    <t>Σ²=</t>
  </si>
  <si>
    <t>a=</t>
  </si>
  <si>
    <t>b=</t>
  </si>
  <si>
    <t>y(расч)</t>
  </si>
  <si>
    <t>(yi-y(расч)) ^2</t>
  </si>
  <si>
    <t>S(y)^2=</t>
  </si>
  <si>
    <t>S(a)^2=</t>
  </si>
  <si>
    <t>S(b)^2=</t>
  </si>
  <si>
    <t>S(b)=</t>
  </si>
  <si>
    <t>S(a)=</t>
  </si>
  <si>
    <t>t(0,95; 18)=</t>
  </si>
  <si>
    <t>Δa=</t>
  </si>
  <si>
    <t>Δb=</t>
  </si>
  <si>
    <t>(Xср-Xi)^2</t>
  </si>
  <si>
    <t>Σ/n=</t>
  </si>
  <si>
    <t>S^2=</t>
  </si>
  <si>
    <t>Sr=</t>
  </si>
  <si>
    <t>S=</t>
  </si>
  <si>
    <t>Δ=</t>
  </si>
  <si>
    <t>t(0,95; 3)=</t>
  </si>
  <si>
    <t>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</si>
</sst>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5" fontId="0" fillId="3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164" fontId="0" fillId="3" borderId="0" xfId="0" applyNumberFormat="1" applyFill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1" fontId="0" fillId="5" borderId="0" xfId="0" applyNumberFormat="1" applyFill="1" applyAlignment="1">
      <alignment horizontal="left"/>
    </xf>
    <xf numFmtId="165" fontId="0" fillId="2" borderId="0" xfId="0" applyNumberFormat="1" applyFill="1" applyAlignment="1">
      <alignment horizontal="center"/>
    </xf>
    <xf numFmtId="0" fontId="0" fillId="4" borderId="0" xfId="0" applyFill="1"/>
    <xf numFmtId="164" fontId="0" fillId="0" borderId="0" xfId="0" applyNumberFormat="1" applyAlignment="1">
      <alignment horizontal="right"/>
    </xf>
    <xf numFmtId="0" fontId="0" fillId="5" borderId="0" xfId="0" applyFill="1"/>
    <xf numFmtId="166" fontId="0" fillId="4" borderId="0" xfId="0" applyNumberFormat="1" applyFill="1"/>
    <xf numFmtId="167" fontId="0" fillId="0" borderId="0" xfId="0" applyNumberFormat="1"/>
  </cellXfs>
  <cellStyles count="2">
    <cellStyle name="Обычный" xfId="0" builtinId="0"/>
    <cellStyle name="Обычный 2" xfId="1" xr:uid="{9E785695-7ACB-481B-800E-F1666B2979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0"/>
            <c:trendlineLbl>
              <c:layout>
                <c:manualLayout>
                  <c:x val="-0.5991922185311761"/>
                  <c:y val="-0.219278643003072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'Спектр поглощения'!$E$3:$E$23</c:f>
              <c:numCache>
                <c:formatCode>General</c:formatCode>
                <c:ptCount val="21"/>
                <c:pt idx="0">
                  <c:v>440</c:v>
                </c:pt>
                <c:pt idx="1">
                  <c:v>442</c:v>
                </c:pt>
                <c:pt idx="2">
                  <c:v>444</c:v>
                </c:pt>
                <c:pt idx="3">
                  <c:v>446</c:v>
                </c:pt>
                <c:pt idx="4">
                  <c:v>448</c:v>
                </c:pt>
                <c:pt idx="5">
                  <c:v>450</c:v>
                </c:pt>
                <c:pt idx="6">
                  <c:v>452</c:v>
                </c:pt>
                <c:pt idx="7">
                  <c:v>454</c:v>
                </c:pt>
                <c:pt idx="8">
                  <c:v>456</c:v>
                </c:pt>
                <c:pt idx="9">
                  <c:v>458</c:v>
                </c:pt>
                <c:pt idx="10">
                  <c:v>460</c:v>
                </c:pt>
                <c:pt idx="11">
                  <c:v>462</c:v>
                </c:pt>
                <c:pt idx="12">
                  <c:v>464</c:v>
                </c:pt>
                <c:pt idx="13">
                  <c:v>466</c:v>
                </c:pt>
                <c:pt idx="14">
                  <c:v>468</c:v>
                </c:pt>
                <c:pt idx="15">
                  <c:v>470</c:v>
                </c:pt>
                <c:pt idx="16">
                  <c:v>472</c:v>
                </c:pt>
                <c:pt idx="17">
                  <c:v>474</c:v>
                </c:pt>
                <c:pt idx="18">
                  <c:v>476</c:v>
                </c:pt>
                <c:pt idx="19">
                  <c:v>478</c:v>
                </c:pt>
                <c:pt idx="20">
                  <c:v>480</c:v>
                </c:pt>
              </c:numCache>
            </c:numRef>
          </c:xVal>
          <c:yVal>
            <c:numRef>
              <c:f>'Спектр поглощения'!$F$3:$F$23</c:f>
              <c:numCache>
                <c:formatCode>0.000</c:formatCode>
                <c:ptCount val="21"/>
                <c:pt idx="0">
                  <c:v>0.26500000000000001</c:v>
                </c:pt>
                <c:pt idx="1">
                  <c:v>0.26900000000000002</c:v>
                </c:pt>
                <c:pt idx="2">
                  <c:v>0.27200000000000002</c:v>
                </c:pt>
                <c:pt idx="3">
                  <c:v>0.27500000000000002</c:v>
                </c:pt>
                <c:pt idx="4">
                  <c:v>0.27800000000000002</c:v>
                </c:pt>
                <c:pt idx="5">
                  <c:v>0.28000000000000003</c:v>
                </c:pt>
                <c:pt idx="6">
                  <c:v>0.28199999999999997</c:v>
                </c:pt>
                <c:pt idx="7">
                  <c:v>0.28299999999999997</c:v>
                </c:pt>
                <c:pt idx="8">
                  <c:v>0.28100000000000003</c:v>
                </c:pt>
                <c:pt idx="9">
                  <c:v>0.28199999999999997</c:v>
                </c:pt>
                <c:pt idx="10">
                  <c:v>0.28499999999999998</c:v>
                </c:pt>
                <c:pt idx="11">
                  <c:v>0.27800000000000002</c:v>
                </c:pt>
                <c:pt idx="12">
                  <c:v>0.28499999999999998</c:v>
                </c:pt>
                <c:pt idx="13">
                  <c:v>0.28499999999999998</c:v>
                </c:pt>
                <c:pt idx="14">
                  <c:v>0.28599999999999998</c:v>
                </c:pt>
                <c:pt idx="15">
                  <c:v>0.28499999999999998</c:v>
                </c:pt>
                <c:pt idx="16">
                  <c:v>0.28299999999999997</c:v>
                </c:pt>
                <c:pt idx="17">
                  <c:v>0.28199999999999997</c:v>
                </c:pt>
                <c:pt idx="18">
                  <c:v>0.28199999999999997</c:v>
                </c:pt>
                <c:pt idx="19">
                  <c:v>0.28000000000000003</c:v>
                </c:pt>
                <c:pt idx="20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31-4D8A-AEB6-F3D65D150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356880"/>
        <c:axId val="1837357360"/>
      </c:scatterChart>
      <c:valAx>
        <c:axId val="183735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357360"/>
        <c:crosses val="autoZero"/>
        <c:crossBetween val="midCat"/>
      </c:valAx>
      <c:valAx>
        <c:axId val="18373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35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0"/>
            <c:trendlineLbl>
              <c:layout>
                <c:manualLayout>
                  <c:x val="-0.57404683080787522"/>
                  <c:y val="-0.752141698320438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'Спектр поглощения'!$B$3:$B$18</c:f>
              <c:numCache>
                <c:formatCode>General</c:formatCode>
                <c:ptCount val="16"/>
                <c:pt idx="0">
                  <c:v>400</c:v>
                </c:pt>
                <c:pt idx="1">
                  <c:v>420</c:v>
                </c:pt>
                <c:pt idx="2">
                  <c:v>440</c:v>
                </c:pt>
                <c:pt idx="3">
                  <c:v>460</c:v>
                </c:pt>
                <c:pt idx="4">
                  <c:v>480</c:v>
                </c:pt>
                <c:pt idx="5">
                  <c:v>500</c:v>
                </c:pt>
                <c:pt idx="6">
                  <c:v>520</c:v>
                </c:pt>
                <c:pt idx="7">
                  <c:v>540</c:v>
                </c:pt>
                <c:pt idx="8">
                  <c:v>560</c:v>
                </c:pt>
                <c:pt idx="9">
                  <c:v>580</c:v>
                </c:pt>
                <c:pt idx="10">
                  <c:v>600</c:v>
                </c:pt>
                <c:pt idx="11">
                  <c:v>620</c:v>
                </c:pt>
                <c:pt idx="12">
                  <c:v>640</c:v>
                </c:pt>
                <c:pt idx="13">
                  <c:v>660</c:v>
                </c:pt>
                <c:pt idx="14">
                  <c:v>680</c:v>
                </c:pt>
                <c:pt idx="15">
                  <c:v>700</c:v>
                </c:pt>
              </c:numCache>
            </c:numRef>
          </c:xVal>
          <c:yVal>
            <c:numRef>
              <c:f>'Спектр поглощения'!$C$3:$C$18</c:f>
              <c:numCache>
                <c:formatCode>0.000</c:formatCode>
                <c:ptCount val="16"/>
                <c:pt idx="0">
                  <c:v>0.17799999999999999</c:v>
                </c:pt>
                <c:pt idx="1">
                  <c:v>0.20300000000000001</c:v>
                </c:pt>
                <c:pt idx="2">
                  <c:v>0.26300000000000001</c:v>
                </c:pt>
                <c:pt idx="3">
                  <c:v>0.28000000000000003</c:v>
                </c:pt>
                <c:pt idx="4">
                  <c:v>0.27300000000000002</c:v>
                </c:pt>
                <c:pt idx="5">
                  <c:v>0.246</c:v>
                </c:pt>
                <c:pt idx="6">
                  <c:v>0.20100000000000001</c:v>
                </c:pt>
                <c:pt idx="7">
                  <c:v>0.157</c:v>
                </c:pt>
                <c:pt idx="8">
                  <c:v>0.11700000000000001</c:v>
                </c:pt>
                <c:pt idx="9">
                  <c:v>8.4000000000000005E-2</c:v>
                </c:pt>
                <c:pt idx="10">
                  <c:v>5.6000000000000001E-2</c:v>
                </c:pt>
                <c:pt idx="11">
                  <c:v>3.5000000000000003E-2</c:v>
                </c:pt>
                <c:pt idx="12">
                  <c:v>2.1999999999999999E-2</c:v>
                </c:pt>
                <c:pt idx="13">
                  <c:v>1.6E-2</c:v>
                </c:pt>
                <c:pt idx="14">
                  <c:v>1.0999999999999999E-2</c:v>
                </c:pt>
                <c:pt idx="15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5-446D-85ED-719950396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668336"/>
        <c:axId val="1877660656"/>
      </c:scatterChart>
      <c:valAx>
        <c:axId val="1877668336"/>
        <c:scaling>
          <c:orientation val="minMax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7660656"/>
        <c:crosses val="autoZero"/>
        <c:crossBetween val="midCat"/>
      </c:valAx>
      <c:valAx>
        <c:axId val="187766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766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'Спектр поглощения'!$H$2:$H$34</c:f>
              <c:numCache>
                <c:formatCode>General</c:formatCode>
                <c:ptCount val="33"/>
                <c:pt idx="0">
                  <c:v>400</c:v>
                </c:pt>
                <c:pt idx="1">
                  <c:v>420</c:v>
                </c:pt>
                <c:pt idx="2">
                  <c:v>440</c:v>
                </c:pt>
                <c:pt idx="3">
                  <c:v>442</c:v>
                </c:pt>
                <c:pt idx="4">
                  <c:v>444</c:v>
                </c:pt>
                <c:pt idx="5">
                  <c:v>446</c:v>
                </c:pt>
                <c:pt idx="6">
                  <c:v>448</c:v>
                </c:pt>
                <c:pt idx="7">
                  <c:v>450</c:v>
                </c:pt>
                <c:pt idx="8">
                  <c:v>452</c:v>
                </c:pt>
                <c:pt idx="9">
                  <c:v>454</c:v>
                </c:pt>
                <c:pt idx="10">
                  <c:v>456</c:v>
                </c:pt>
                <c:pt idx="11">
                  <c:v>458</c:v>
                </c:pt>
                <c:pt idx="12">
                  <c:v>460</c:v>
                </c:pt>
                <c:pt idx="13">
                  <c:v>462</c:v>
                </c:pt>
                <c:pt idx="14">
                  <c:v>464</c:v>
                </c:pt>
                <c:pt idx="15">
                  <c:v>466</c:v>
                </c:pt>
                <c:pt idx="16">
                  <c:v>468</c:v>
                </c:pt>
                <c:pt idx="17">
                  <c:v>470</c:v>
                </c:pt>
                <c:pt idx="18">
                  <c:v>472</c:v>
                </c:pt>
                <c:pt idx="19">
                  <c:v>474</c:v>
                </c:pt>
                <c:pt idx="20">
                  <c:v>476</c:v>
                </c:pt>
                <c:pt idx="21">
                  <c:v>480</c:v>
                </c:pt>
                <c:pt idx="22">
                  <c:v>500</c:v>
                </c:pt>
                <c:pt idx="23">
                  <c:v>520</c:v>
                </c:pt>
                <c:pt idx="24">
                  <c:v>540</c:v>
                </c:pt>
                <c:pt idx="25">
                  <c:v>560</c:v>
                </c:pt>
                <c:pt idx="26">
                  <c:v>580</c:v>
                </c:pt>
                <c:pt idx="27">
                  <c:v>600</c:v>
                </c:pt>
                <c:pt idx="28">
                  <c:v>620</c:v>
                </c:pt>
                <c:pt idx="29">
                  <c:v>640</c:v>
                </c:pt>
                <c:pt idx="30">
                  <c:v>660</c:v>
                </c:pt>
                <c:pt idx="31">
                  <c:v>680</c:v>
                </c:pt>
                <c:pt idx="32">
                  <c:v>700</c:v>
                </c:pt>
              </c:numCache>
            </c:numRef>
          </c:xVal>
          <c:yVal>
            <c:numRef>
              <c:f>'Спектр поглощения'!$I$2:$I$34</c:f>
              <c:numCache>
                <c:formatCode>0.000</c:formatCode>
                <c:ptCount val="33"/>
                <c:pt idx="0">
                  <c:v>0.17799999999999999</c:v>
                </c:pt>
                <c:pt idx="1">
                  <c:v>0.20300000000000001</c:v>
                </c:pt>
                <c:pt idx="2">
                  <c:v>0.26500000000000001</c:v>
                </c:pt>
                <c:pt idx="3">
                  <c:v>0.26900000000000002</c:v>
                </c:pt>
                <c:pt idx="4">
                  <c:v>0.27200000000000002</c:v>
                </c:pt>
                <c:pt idx="5">
                  <c:v>0.27500000000000002</c:v>
                </c:pt>
                <c:pt idx="6">
                  <c:v>0.27800000000000002</c:v>
                </c:pt>
                <c:pt idx="7">
                  <c:v>0.28000000000000003</c:v>
                </c:pt>
                <c:pt idx="8">
                  <c:v>0.28199999999999997</c:v>
                </c:pt>
                <c:pt idx="9">
                  <c:v>0.28299999999999997</c:v>
                </c:pt>
                <c:pt idx="10">
                  <c:v>0.28100000000000003</c:v>
                </c:pt>
                <c:pt idx="11">
                  <c:v>0.28199999999999997</c:v>
                </c:pt>
                <c:pt idx="12">
                  <c:v>0.28499999999999998</c:v>
                </c:pt>
                <c:pt idx="13">
                  <c:v>0.27800000000000002</c:v>
                </c:pt>
                <c:pt idx="14">
                  <c:v>0.28499999999999998</c:v>
                </c:pt>
                <c:pt idx="15">
                  <c:v>0.28499999999999998</c:v>
                </c:pt>
                <c:pt idx="16">
                  <c:v>0.28599999999999998</c:v>
                </c:pt>
                <c:pt idx="17">
                  <c:v>0.28499999999999998</c:v>
                </c:pt>
                <c:pt idx="18">
                  <c:v>0.28299999999999997</c:v>
                </c:pt>
                <c:pt idx="19">
                  <c:v>0.28199999999999997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0.246</c:v>
                </c:pt>
                <c:pt idx="23">
                  <c:v>0.20100000000000001</c:v>
                </c:pt>
                <c:pt idx="24">
                  <c:v>0.157</c:v>
                </c:pt>
                <c:pt idx="25">
                  <c:v>0.11700000000000001</c:v>
                </c:pt>
                <c:pt idx="26">
                  <c:v>8.4000000000000005E-2</c:v>
                </c:pt>
                <c:pt idx="27">
                  <c:v>5.6000000000000001E-2</c:v>
                </c:pt>
                <c:pt idx="28">
                  <c:v>3.5000000000000003E-2</c:v>
                </c:pt>
                <c:pt idx="29">
                  <c:v>2.1999999999999999E-2</c:v>
                </c:pt>
                <c:pt idx="30">
                  <c:v>1.6E-2</c:v>
                </c:pt>
                <c:pt idx="31">
                  <c:v>1.0999999999999999E-2</c:v>
                </c:pt>
                <c:pt idx="32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4-48AE-B93C-594414620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706128"/>
        <c:axId val="1524689808"/>
      </c:scatterChart>
      <c:valAx>
        <c:axId val="1524706128"/>
        <c:scaling>
          <c:orientation val="minMax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4689808"/>
        <c:crosses val="autoZero"/>
        <c:crossBetween val="midCat"/>
      </c:valAx>
      <c:valAx>
        <c:axId val="15246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470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150481189851271E-2"/>
          <c:y val="5.0925925925925923E-2"/>
          <c:w val="0.84284251968503932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alpha val="94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574387576552933"/>
                  <c:y val="2.38582677165354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ГГ!$E$3:$E$7</c:f>
              <c:numCache>
                <c:formatCode>0.000</c:formatCode>
                <c:ptCount val="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</c:numCache>
            </c:numRef>
          </c:xVal>
          <c:yVal>
            <c:numRef>
              <c:f>ГГ!$L$3:$L$7</c:f>
              <c:numCache>
                <c:formatCode>0.000</c:formatCode>
                <c:ptCount val="5"/>
                <c:pt idx="0">
                  <c:v>8.4750000000000006E-2</c:v>
                </c:pt>
                <c:pt idx="1">
                  <c:v>0.16125</c:v>
                </c:pt>
                <c:pt idx="2">
                  <c:v>0.24775000000000003</c:v>
                </c:pt>
                <c:pt idx="3">
                  <c:v>0.32125000000000004</c:v>
                </c:pt>
                <c:pt idx="4">
                  <c:v>0.40175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F-4546-A241-F4E49EC76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132656"/>
        <c:axId val="1609133136"/>
      </c:scatterChart>
      <c:valAx>
        <c:axId val="160913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9133136"/>
        <c:crosses val="autoZero"/>
        <c:crossBetween val="midCat"/>
      </c:valAx>
      <c:valAx>
        <c:axId val="16091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913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12701</xdr:colOff>
      <xdr:row>0</xdr:row>
      <xdr:rowOff>168275</xdr:rowOff>
    </xdr:from>
    <xdr:to>
      <xdr:col>17</xdr:col>
      <xdr:colOff>319088</xdr:colOff>
      <xdr:row>15</xdr:row>
      <xdr:rowOff>149225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175FB18-4B8C-62F3-178D-21BE2998A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456407</xdr:colOff>
      <xdr:row>0</xdr:row>
      <xdr:rowOff>180181</xdr:rowOff>
    </xdr:from>
    <xdr:to>
      <xdr:col>25</xdr:col>
      <xdr:colOff>138907</xdr:colOff>
      <xdr:row>16</xdr:row>
      <xdr:rowOff>2381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B4E515D-0159-9FFD-05FC-D9AA83319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7370</xdr:colOff>
      <xdr:row>16</xdr:row>
      <xdr:rowOff>89466</xdr:rowOff>
    </xdr:from>
    <xdr:to>
      <xdr:col>17</xdr:col>
      <xdr:colOff>301057</xdr:colOff>
      <xdr:row>31</xdr:row>
      <xdr:rowOff>94228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FF05409-5D69-3DFA-4C4C-12DBD6D34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604838</xdr:colOff>
      <xdr:row>1</xdr:row>
      <xdr:rowOff>3175</xdr:rowOff>
    </xdr:from>
    <xdr:to>
      <xdr:col>22</xdr:col>
      <xdr:colOff>349249</xdr:colOff>
      <xdr:row>16</xdr:row>
      <xdr:rowOff>127000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B05BC8E-9A4B-0933-569C-E1D51102A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4"/>
  <sheetViews>
    <sheetView zoomScale="70" zoomScaleNormal="70" workbookViewId="0">
      <selection activeCell="H26" sqref="H26"/>
    </sheetView>
  </sheetViews>
  <sheetFormatPr defaultRowHeight="14.5" x14ac:dyDescent="0.35"/>
  <sheetData>
    <row r="2" spans="2:9" x14ac:dyDescent="0.35">
      <c r="B2" s="2" t="s">
        <v>0</v>
      </c>
      <c r="C2" s="3" t="s">
        <v>1</v>
      </c>
      <c r="D2" s="1"/>
      <c r="E2" s="2" t="s">
        <v>0</v>
      </c>
      <c r="F2" s="3" t="s">
        <v>1</v>
      </c>
      <c r="H2">
        <v>400</v>
      </c>
      <c r="I2" s="5">
        <v>0.17799999999999999</v>
      </c>
    </row>
    <row r="3" spans="2:9" x14ac:dyDescent="0.35">
      <c r="B3">
        <v>400</v>
      </c>
      <c r="C3" s="5">
        <v>0.17799999999999999</v>
      </c>
      <c r="E3">
        <v>440</v>
      </c>
      <c r="F3" s="5">
        <v>0.26500000000000001</v>
      </c>
      <c r="H3">
        <v>420</v>
      </c>
      <c r="I3" s="5">
        <v>0.20300000000000001</v>
      </c>
    </row>
    <row r="4" spans="2:9" x14ac:dyDescent="0.35">
      <c r="B4">
        <v>420</v>
      </c>
      <c r="C4" s="5">
        <v>0.20300000000000001</v>
      </c>
      <c r="E4">
        <v>442</v>
      </c>
      <c r="F4" s="5">
        <v>0.26900000000000002</v>
      </c>
      <c r="H4">
        <v>440</v>
      </c>
      <c r="I4" s="5">
        <v>0.26500000000000001</v>
      </c>
    </row>
    <row r="5" spans="2:9" x14ac:dyDescent="0.35">
      <c r="B5">
        <v>440</v>
      </c>
      <c r="C5" s="5">
        <v>0.26300000000000001</v>
      </c>
      <c r="E5">
        <v>444</v>
      </c>
      <c r="F5" s="5">
        <v>0.27200000000000002</v>
      </c>
      <c r="H5">
        <v>442</v>
      </c>
      <c r="I5" s="5">
        <v>0.26900000000000002</v>
      </c>
    </row>
    <row r="6" spans="2:9" x14ac:dyDescent="0.35">
      <c r="B6">
        <v>460</v>
      </c>
      <c r="C6" s="5">
        <v>0.28000000000000003</v>
      </c>
      <c r="E6">
        <v>446</v>
      </c>
      <c r="F6" s="5">
        <v>0.27500000000000002</v>
      </c>
      <c r="H6">
        <v>444</v>
      </c>
      <c r="I6" s="5">
        <v>0.27200000000000002</v>
      </c>
    </row>
    <row r="7" spans="2:9" x14ac:dyDescent="0.35">
      <c r="B7">
        <v>480</v>
      </c>
      <c r="C7" s="5">
        <v>0.27300000000000002</v>
      </c>
      <c r="E7">
        <v>448</v>
      </c>
      <c r="F7" s="5">
        <v>0.27800000000000002</v>
      </c>
      <c r="H7">
        <v>446</v>
      </c>
      <c r="I7" s="5">
        <v>0.27500000000000002</v>
      </c>
    </row>
    <row r="8" spans="2:9" x14ac:dyDescent="0.35">
      <c r="B8">
        <v>500</v>
      </c>
      <c r="C8" s="5">
        <v>0.246</v>
      </c>
      <c r="E8">
        <v>450</v>
      </c>
      <c r="F8" s="5">
        <v>0.28000000000000003</v>
      </c>
      <c r="H8">
        <v>448</v>
      </c>
      <c r="I8" s="5">
        <v>0.27800000000000002</v>
      </c>
    </row>
    <row r="9" spans="2:9" x14ac:dyDescent="0.35">
      <c r="B9">
        <v>520</v>
      </c>
      <c r="C9" s="5">
        <v>0.20100000000000001</v>
      </c>
      <c r="E9">
        <v>452</v>
      </c>
      <c r="F9" s="5">
        <v>0.28199999999999997</v>
      </c>
      <c r="H9">
        <v>450</v>
      </c>
      <c r="I9" s="5">
        <v>0.28000000000000003</v>
      </c>
    </row>
    <row r="10" spans="2:9" x14ac:dyDescent="0.35">
      <c r="B10">
        <v>540</v>
      </c>
      <c r="C10" s="5">
        <v>0.157</v>
      </c>
      <c r="E10">
        <v>454</v>
      </c>
      <c r="F10" s="5">
        <v>0.28299999999999997</v>
      </c>
      <c r="H10">
        <v>452</v>
      </c>
      <c r="I10" s="5">
        <v>0.28199999999999997</v>
      </c>
    </row>
    <row r="11" spans="2:9" x14ac:dyDescent="0.35">
      <c r="B11">
        <v>560</v>
      </c>
      <c r="C11" s="5">
        <v>0.11700000000000001</v>
      </c>
      <c r="E11">
        <v>456</v>
      </c>
      <c r="F11" s="5">
        <v>0.28100000000000003</v>
      </c>
      <c r="H11">
        <v>454</v>
      </c>
      <c r="I11" s="5">
        <v>0.28299999999999997</v>
      </c>
    </row>
    <row r="12" spans="2:9" x14ac:dyDescent="0.35">
      <c r="B12">
        <v>580</v>
      </c>
      <c r="C12" s="5">
        <v>8.4000000000000005E-2</v>
      </c>
      <c r="E12">
        <v>458</v>
      </c>
      <c r="F12" s="5">
        <v>0.28199999999999997</v>
      </c>
      <c r="H12">
        <v>456</v>
      </c>
      <c r="I12" s="5">
        <v>0.28100000000000003</v>
      </c>
    </row>
    <row r="13" spans="2:9" x14ac:dyDescent="0.35">
      <c r="B13">
        <v>600</v>
      </c>
      <c r="C13" s="5">
        <v>5.6000000000000001E-2</v>
      </c>
      <c r="E13">
        <v>460</v>
      </c>
      <c r="F13" s="5">
        <v>0.28499999999999998</v>
      </c>
      <c r="H13">
        <v>458</v>
      </c>
      <c r="I13" s="5">
        <v>0.28199999999999997</v>
      </c>
    </row>
    <row r="14" spans="2:9" x14ac:dyDescent="0.35">
      <c r="B14">
        <v>620</v>
      </c>
      <c r="C14" s="5">
        <v>3.5000000000000003E-2</v>
      </c>
      <c r="E14">
        <v>462</v>
      </c>
      <c r="F14" s="5">
        <v>0.27800000000000002</v>
      </c>
      <c r="H14">
        <v>460</v>
      </c>
      <c r="I14" s="5">
        <v>0.28499999999999998</v>
      </c>
    </row>
    <row r="15" spans="2:9" x14ac:dyDescent="0.35">
      <c r="B15">
        <v>640</v>
      </c>
      <c r="C15" s="5">
        <v>2.1999999999999999E-2</v>
      </c>
      <c r="E15">
        <v>464</v>
      </c>
      <c r="F15" s="5">
        <v>0.28499999999999998</v>
      </c>
      <c r="H15">
        <v>462</v>
      </c>
      <c r="I15" s="5">
        <v>0.27800000000000002</v>
      </c>
    </row>
    <row r="16" spans="2:9" x14ac:dyDescent="0.35">
      <c r="B16">
        <v>660</v>
      </c>
      <c r="C16" s="5">
        <v>1.6E-2</v>
      </c>
      <c r="E16">
        <v>466</v>
      </c>
      <c r="F16" s="5">
        <v>0.28499999999999998</v>
      </c>
      <c r="H16">
        <v>464</v>
      </c>
      <c r="I16" s="5">
        <v>0.28499999999999998</v>
      </c>
    </row>
    <row r="17" spans="2:9" x14ac:dyDescent="0.35">
      <c r="B17">
        <v>680</v>
      </c>
      <c r="C17" s="5">
        <v>1.0999999999999999E-2</v>
      </c>
      <c r="E17" s="6">
        <v>468</v>
      </c>
      <c r="F17" s="7">
        <v>0.28599999999999998</v>
      </c>
      <c r="H17">
        <v>466</v>
      </c>
      <c r="I17" s="5">
        <v>0.28499999999999998</v>
      </c>
    </row>
    <row r="18" spans="2:9" x14ac:dyDescent="0.35">
      <c r="B18">
        <v>700</v>
      </c>
      <c r="C18" s="5">
        <v>8.9999999999999993E-3</v>
      </c>
      <c r="E18">
        <v>470</v>
      </c>
      <c r="F18" s="5">
        <v>0.28499999999999998</v>
      </c>
      <c r="H18" s="6">
        <v>468</v>
      </c>
      <c r="I18" s="7">
        <v>0.28599999999999998</v>
      </c>
    </row>
    <row r="19" spans="2:9" x14ac:dyDescent="0.35">
      <c r="E19">
        <v>472</v>
      </c>
      <c r="F19" s="5">
        <v>0.28299999999999997</v>
      </c>
      <c r="H19">
        <v>470</v>
      </c>
      <c r="I19" s="5">
        <v>0.28499999999999998</v>
      </c>
    </row>
    <row r="20" spans="2:9" x14ac:dyDescent="0.35">
      <c r="E20">
        <v>474</v>
      </c>
      <c r="F20" s="5">
        <v>0.28199999999999997</v>
      </c>
      <c r="H20">
        <v>472</v>
      </c>
      <c r="I20" s="5">
        <v>0.28299999999999997</v>
      </c>
    </row>
    <row r="21" spans="2:9" x14ac:dyDescent="0.35">
      <c r="E21">
        <v>476</v>
      </c>
      <c r="F21" s="5">
        <v>0.28199999999999997</v>
      </c>
      <c r="H21">
        <v>474</v>
      </c>
      <c r="I21" s="5">
        <v>0.28199999999999997</v>
      </c>
    </row>
    <row r="22" spans="2:9" x14ac:dyDescent="0.35">
      <c r="E22">
        <v>478</v>
      </c>
      <c r="F22" s="5">
        <v>0.28000000000000003</v>
      </c>
      <c r="H22">
        <v>476</v>
      </c>
      <c r="I22" s="5">
        <v>0.28000000000000003</v>
      </c>
    </row>
    <row r="23" spans="2:9" x14ac:dyDescent="0.35">
      <c r="E23">
        <v>480</v>
      </c>
      <c r="F23" s="5">
        <v>0.28000000000000003</v>
      </c>
      <c r="H23">
        <v>480</v>
      </c>
      <c r="I23" s="5">
        <v>0.28000000000000003</v>
      </c>
    </row>
    <row r="24" spans="2:9" x14ac:dyDescent="0.35">
      <c r="H24">
        <v>500</v>
      </c>
      <c r="I24" s="5">
        <v>0.246</v>
      </c>
    </row>
    <row r="25" spans="2:9" x14ac:dyDescent="0.35">
      <c r="H25">
        <v>520</v>
      </c>
      <c r="I25" s="5">
        <v>0.20100000000000001</v>
      </c>
    </row>
    <row r="26" spans="2:9" x14ac:dyDescent="0.35">
      <c r="H26">
        <v>540</v>
      </c>
      <c r="I26" s="5">
        <v>0.157</v>
      </c>
    </row>
    <row r="27" spans="2:9" x14ac:dyDescent="0.35">
      <c r="H27">
        <v>560</v>
      </c>
      <c r="I27" s="5">
        <v>0.11700000000000001</v>
      </c>
    </row>
    <row r="28" spans="2:9" x14ac:dyDescent="0.35">
      <c r="H28">
        <v>580</v>
      </c>
      <c r="I28" s="5">
        <v>8.4000000000000005E-2</v>
      </c>
    </row>
    <row r="29" spans="2:9" x14ac:dyDescent="0.35">
      <c r="H29">
        <v>600</v>
      </c>
      <c r="I29" s="5">
        <v>5.6000000000000001E-2</v>
      </c>
    </row>
    <row r="30" spans="2:9" x14ac:dyDescent="0.35">
      <c r="H30">
        <v>620</v>
      </c>
      <c r="I30" s="5">
        <v>3.5000000000000003E-2</v>
      </c>
    </row>
    <row r="31" spans="2:9" x14ac:dyDescent="0.35">
      <c r="H31">
        <v>640</v>
      </c>
      <c r="I31" s="5">
        <v>2.1999999999999999E-2</v>
      </c>
    </row>
    <row r="32" spans="2:9" x14ac:dyDescent="0.35">
      <c r="H32">
        <v>660</v>
      </c>
      <c r="I32" s="5">
        <v>1.6E-2</v>
      </c>
    </row>
    <row r="33" spans="8:9" x14ac:dyDescent="0.35">
      <c r="H33">
        <v>680</v>
      </c>
      <c r="I33" s="5">
        <v>1.0999999999999999E-2</v>
      </c>
    </row>
    <row r="34" spans="8:9" x14ac:dyDescent="0.35">
      <c r="H34">
        <v>700</v>
      </c>
      <c r="I34" s="5">
        <v>8.9999999999999993E-3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E260-2C50-4A0A-8665-EF05C5E546F3}">
  <dimension ref="B2:C6"/>
  <sheetViews>
    <sheetView workbookViewId="0">
      <selection activeCell="E17" sqref="E17"/>
    </sheetView>
  </sheetViews>
  <sheetFormatPr defaultRowHeight="14.5" x14ac:dyDescent="0.35"/>
  <sheetData>
    <row r="2" spans="2:3" x14ac:dyDescent="0.35">
      <c r="B2" s="9" t="s">
        <v>2</v>
      </c>
      <c r="C2" s="9" t="s">
        <v>3</v>
      </c>
    </row>
    <row r="3" spans="2:3" x14ac:dyDescent="0.35">
      <c r="B3" s="4">
        <v>0.5</v>
      </c>
      <c r="C3">
        <v>0.14299999999999999</v>
      </c>
    </row>
    <row r="4" spans="2:3" x14ac:dyDescent="0.35">
      <c r="B4" s="12">
        <v>1</v>
      </c>
      <c r="C4" s="6">
        <v>0.28599999999999998</v>
      </c>
    </row>
    <row r="5" spans="2:3" x14ac:dyDescent="0.35">
      <c r="B5" s="4">
        <v>2</v>
      </c>
      <c r="C5">
        <v>0.55200000000000005</v>
      </c>
    </row>
    <row r="6" spans="2:3" x14ac:dyDescent="0.35">
      <c r="B6" s="4">
        <v>3</v>
      </c>
      <c r="C6">
        <v>0.873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3171-ACE2-4FBA-9CA9-A28E3BD7B72F}">
  <dimension ref="A2:N20"/>
  <sheetViews>
    <sheetView tabSelected="1" zoomScale="80" zoomScaleNormal="80" workbookViewId="0">
      <selection activeCell="F3" sqref="F3"/>
    </sheetView>
  </sheetViews>
  <sheetFormatPr defaultRowHeight="14.5" x14ac:dyDescent="0.35"/>
  <cols>
    <col min="2" max="2" width="12.7265625" bestFit="1" customWidth="1"/>
    <col min="3" max="3" width="9.1796875" customWidth="1"/>
    <col min="4" max="4" width="10.08984375" customWidth="1"/>
    <col min="5" max="5" width="12.08984375" customWidth="1"/>
    <col min="6" max="6" width="13.36328125" customWidth="1"/>
    <col min="7" max="7" width="12.90625" customWidth="1"/>
    <col min="14" max="14" width="9.6328125" bestFit="1" customWidth="1"/>
  </cols>
  <sheetData>
    <row r="2" spans="1:14" x14ac:dyDescent="0.35">
      <c r="A2" s="11" t="s">
        <v>14</v>
      </c>
      <c r="B2" s="14">
        <v>1</v>
      </c>
      <c r="E2" s="9" t="s">
        <v>10</v>
      </c>
      <c r="F2" s="3" t="s">
        <v>8</v>
      </c>
      <c r="G2" s="3" t="s">
        <v>17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9</v>
      </c>
      <c r="M2" s="3" t="s">
        <v>16</v>
      </c>
      <c r="N2" s="3" t="s">
        <v>49</v>
      </c>
    </row>
    <row r="3" spans="1:14" x14ac:dyDescent="0.35">
      <c r="A3" s="11" t="s">
        <v>12</v>
      </c>
      <c r="B3" s="14">
        <v>1.0117</v>
      </c>
      <c r="E3" s="5">
        <v>0.02</v>
      </c>
      <c r="F3">
        <v>0.2</v>
      </c>
      <c r="G3" s="21">
        <f>E3*10^(-3)/$B$7/0.05</f>
        <v>6.8154711194411324E-6</v>
      </c>
      <c r="H3" s="5">
        <v>6.9000000000000006E-2</v>
      </c>
      <c r="I3" s="5">
        <v>7.9000000000000001E-2</v>
      </c>
      <c r="J3" s="5">
        <v>9.2999999999999999E-2</v>
      </c>
      <c r="K3" s="5">
        <v>9.8000000000000004E-2</v>
      </c>
      <c r="L3" s="5">
        <f>AVERAGE(H3:K3)</f>
        <v>8.4750000000000006E-2</v>
      </c>
      <c r="M3" s="5">
        <f>AVERAGE(H3:I3)</f>
        <v>7.400000000000001E-2</v>
      </c>
      <c r="N3">
        <f>L3/($B$2*$B$3*G3)</f>
        <v>12291.137441929424</v>
      </c>
    </row>
    <row r="4" spans="1:14" x14ac:dyDescent="0.35">
      <c r="A4" s="11" t="s">
        <v>13</v>
      </c>
      <c r="B4" s="14">
        <f>L8/(G8*B3*B2)</f>
        <v>11764.201756120061</v>
      </c>
      <c r="E4" s="5">
        <v>0.04</v>
      </c>
      <c r="F4">
        <v>0.4</v>
      </c>
      <c r="G4" s="21">
        <f>E4*10^(-3)/$B$7/0.05</f>
        <v>1.3630942238882265E-5</v>
      </c>
      <c r="H4" s="5">
        <v>0.13400000000000001</v>
      </c>
      <c r="I4" s="5">
        <v>0.13900000000000001</v>
      </c>
      <c r="J4" s="5">
        <v>0.185</v>
      </c>
      <c r="K4" s="5">
        <v>0.187</v>
      </c>
      <c r="L4" s="5">
        <f t="shared" ref="L4:L7" si="0">AVERAGE(H4:K4)</f>
        <v>0.16125</v>
      </c>
      <c r="M4" s="5">
        <f t="shared" ref="M4:M7" si="1">AVERAGE(H4:I4)</f>
        <v>0.13650000000000001</v>
      </c>
      <c r="N4">
        <f t="shared" ref="N4:N7" si="2">L4/($B$2*$B$3*G4)</f>
        <v>11692.896239003656</v>
      </c>
    </row>
    <row r="5" spans="1:14" x14ac:dyDescent="0.35">
      <c r="A5" s="11" t="s">
        <v>18</v>
      </c>
      <c r="B5" s="15">
        <f>M8/(G8*B3*B2)</f>
        <v>10093.960660274784</v>
      </c>
      <c r="E5" s="5">
        <v>0.06</v>
      </c>
      <c r="F5">
        <v>0.6</v>
      </c>
      <c r="G5" s="21">
        <f>E5*10^(-3)/$B$7/0.05</f>
        <v>2.0446413358323394E-5</v>
      </c>
      <c r="H5" s="5">
        <v>0.21099999999999999</v>
      </c>
      <c r="I5" s="5">
        <v>0.215</v>
      </c>
      <c r="J5" s="5">
        <v>0.28100000000000003</v>
      </c>
      <c r="K5" s="5">
        <v>0.28399999999999997</v>
      </c>
      <c r="L5" s="5">
        <f t="shared" si="0"/>
        <v>0.24775000000000003</v>
      </c>
      <c r="M5" s="5">
        <f t="shared" si="1"/>
        <v>0.21299999999999999</v>
      </c>
      <c r="N5">
        <f t="shared" si="2"/>
        <v>11976.909739382558</v>
      </c>
    </row>
    <row r="6" spans="1:14" x14ac:dyDescent="0.35">
      <c r="E6" s="5">
        <v>0.08</v>
      </c>
      <c r="F6">
        <v>0.8</v>
      </c>
      <c r="G6" s="21">
        <f>E6*10^(-3)/$B$7/0.05</f>
        <v>2.726188447776453E-5</v>
      </c>
      <c r="H6" s="5">
        <v>0.27600000000000002</v>
      </c>
      <c r="I6" s="5">
        <v>0.28000000000000003</v>
      </c>
      <c r="J6" s="5">
        <v>0.36199999999999999</v>
      </c>
      <c r="K6" s="5">
        <v>0.36699999999999999</v>
      </c>
      <c r="L6" s="5">
        <f t="shared" si="0"/>
        <v>0.32125000000000004</v>
      </c>
      <c r="M6" s="5">
        <f t="shared" si="1"/>
        <v>0.27800000000000002</v>
      </c>
      <c r="N6">
        <f t="shared" si="2"/>
        <v>11647.574935751703</v>
      </c>
    </row>
    <row r="7" spans="1:14" x14ac:dyDescent="0.35">
      <c r="A7" s="11" t="s">
        <v>15</v>
      </c>
      <c r="B7" s="13">
        <v>58.69</v>
      </c>
      <c r="E7" s="5">
        <v>0.1</v>
      </c>
      <c r="F7" s="4">
        <v>1</v>
      </c>
      <c r="G7" s="21">
        <f>E7*10^(-3)/$B$7/0.05</f>
        <v>3.4077355597205659E-5</v>
      </c>
      <c r="H7" s="5">
        <v>0.34</v>
      </c>
      <c r="I7" s="5">
        <v>0.34499999999999997</v>
      </c>
      <c r="J7" s="5">
        <v>0.45800000000000002</v>
      </c>
      <c r="K7" s="5">
        <v>0.46400000000000002</v>
      </c>
      <c r="L7" s="5">
        <f t="shared" si="0"/>
        <v>0.40175</v>
      </c>
      <c r="M7" s="5">
        <f t="shared" si="1"/>
        <v>0.34250000000000003</v>
      </c>
      <c r="N7">
        <f t="shared" si="2"/>
        <v>11653.013492141938</v>
      </c>
    </row>
    <row r="8" spans="1:14" x14ac:dyDescent="0.35">
      <c r="G8" s="21">
        <f>AVERAGE(G3:G7)</f>
        <v>2.0446413358323394E-5</v>
      </c>
      <c r="L8" s="5">
        <f>AVERAGE(L3:L7)</f>
        <v>0.24335000000000001</v>
      </c>
      <c r="M8" s="5">
        <f>AVERAGE(M3:M7)</f>
        <v>0.20880000000000001</v>
      </c>
      <c r="N8" s="5">
        <f>AVERAGE(N3:N7)</f>
        <v>11852.306369641858</v>
      </c>
    </row>
    <row r="10" spans="1:14" x14ac:dyDescent="0.35">
      <c r="B10" s="10" t="s">
        <v>11</v>
      </c>
      <c r="C10" s="10"/>
      <c r="D10" s="9" t="s">
        <v>10</v>
      </c>
      <c r="E10" s="9" t="s">
        <v>42</v>
      </c>
    </row>
    <row r="11" spans="1:14" x14ac:dyDescent="0.35">
      <c r="B11" s="8" t="s">
        <v>4</v>
      </c>
      <c r="C11" s="8">
        <v>0.17599999999999999</v>
      </c>
      <c r="D11">
        <f>(C11-0.0051)/3.97</f>
        <v>4.3047858942065489E-2</v>
      </c>
      <c r="E11">
        <f>($D$15-D11)^2</f>
        <v>3.2120627629132348E-7</v>
      </c>
      <c r="L11" s="5"/>
    </row>
    <row r="12" spans="1:14" x14ac:dyDescent="0.35">
      <c r="B12" s="8" t="s">
        <v>5</v>
      </c>
      <c r="C12" s="8">
        <v>0.17799999999999999</v>
      </c>
      <c r="D12">
        <f t="shared" ref="D12:D14" si="3">(C12-0.0051)/3.97</f>
        <v>4.3551637279596975E-2</v>
      </c>
      <c r="E12">
        <f t="shared" ref="E12:E14" si="4">($D$15-D12)^2</f>
        <v>3.9655095838431118E-9</v>
      </c>
      <c r="L12" s="5"/>
    </row>
    <row r="13" spans="1:14" x14ac:dyDescent="0.35">
      <c r="B13" s="8" t="s">
        <v>6</v>
      </c>
      <c r="C13" s="8">
        <v>0.18099999999999999</v>
      </c>
      <c r="D13">
        <f t="shared" si="3"/>
        <v>4.4307304785894203E-2</v>
      </c>
      <c r="E13">
        <f t="shared" si="4"/>
        <v>4.7982665964507412E-7</v>
      </c>
      <c r="L13" s="5"/>
    </row>
    <row r="14" spans="1:14" x14ac:dyDescent="0.35">
      <c r="B14" s="8" t="s">
        <v>7</v>
      </c>
      <c r="C14" s="8">
        <v>0.17799999999999999</v>
      </c>
      <c r="D14">
        <f t="shared" si="3"/>
        <v>4.3551637279596975E-2</v>
      </c>
      <c r="E14">
        <f t="shared" si="4"/>
        <v>3.9655095838431118E-9</v>
      </c>
      <c r="L14" s="5"/>
    </row>
    <row r="15" spans="1:14" x14ac:dyDescent="0.35">
      <c r="B15" s="11" t="s">
        <v>43</v>
      </c>
      <c r="D15" s="19">
        <f>AVERAGE(D11:D14)</f>
        <v>4.3614609571788407E-2</v>
      </c>
      <c r="E15" s="19">
        <f>AVERAGE(E11:E14)</f>
        <v>2.0224098877602096E-7</v>
      </c>
      <c r="L15" s="5"/>
    </row>
    <row r="17" spans="2:5" x14ac:dyDescent="0.35">
      <c r="B17" s="11" t="s">
        <v>44</v>
      </c>
      <c r="C17" s="19">
        <f>E15/3</f>
        <v>6.7413662925340325E-8</v>
      </c>
      <c r="D17" s="11" t="s">
        <v>48</v>
      </c>
      <c r="E17" s="19">
        <f>_xlfn.T.INV.2T(1-0.95, 3)</f>
        <v>3.1824463052837078</v>
      </c>
    </row>
    <row r="18" spans="2:5" x14ac:dyDescent="0.35">
      <c r="B18" s="11" t="s">
        <v>46</v>
      </c>
      <c r="C18" s="19">
        <f>SQRT(C17)</f>
        <v>2.5964141219254742E-4</v>
      </c>
    </row>
    <row r="19" spans="2:5" x14ac:dyDescent="0.35">
      <c r="B19" s="11" t="s">
        <v>45</v>
      </c>
      <c r="C19" s="19">
        <f>C18/D15*100</f>
        <v>0.59530834906405627</v>
      </c>
    </row>
    <row r="20" spans="2:5" x14ac:dyDescent="0.35">
      <c r="B20" s="11" t="s">
        <v>47</v>
      </c>
      <c r="C20" s="19">
        <f>C18*E17/SQRT(4)</f>
        <v>4.1314742646540839E-4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DDF2-5937-459E-9337-DD4EE9EAFE27}">
  <dimension ref="A2:J39"/>
  <sheetViews>
    <sheetView topLeftCell="A21" zoomScale="86" zoomScaleNormal="86" workbookViewId="0">
      <selection activeCell="H39" sqref="H39"/>
    </sheetView>
  </sheetViews>
  <sheetFormatPr defaultRowHeight="14.5" x14ac:dyDescent="0.35"/>
  <cols>
    <col min="2" max="2" width="10.1796875" customWidth="1"/>
    <col min="4" max="4" width="8.26953125" customWidth="1"/>
    <col min="5" max="5" width="9.6328125" customWidth="1"/>
    <col min="7" max="7" width="10" customWidth="1"/>
    <col min="8" max="8" width="12.7265625" customWidth="1"/>
    <col min="10" max="10" width="11.81640625" bestFit="1" customWidth="1"/>
  </cols>
  <sheetData>
    <row r="2" spans="2:8" x14ac:dyDescent="0.35"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</row>
    <row r="3" spans="2:8" x14ac:dyDescent="0.35">
      <c r="B3" s="5">
        <v>0.02</v>
      </c>
      <c r="C3" s="5">
        <v>6.9000000000000006E-2</v>
      </c>
      <c r="D3" s="5">
        <v>7.9000000000000001E-2</v>
      </c>
      <c r="E3" s="5">
        <v>9.2999999999999999E-2</v>
      </c>
      <c r="F3" s="5">
        <v>9.8000000000000004E-2</v>
      </c>
    </row>
    <row r="4" spans="2:8" x14ac:dyDescent="0.35">
      <c r="B4" s="5">
        <v>0.04</v>
      </c>
      <c r="C4" s="5">
        <v>0.13400000000000001</v>
      </c>
      <c r="D4" s="5">
        <v>0.13900000000000001</v>
      </c>
      <c r="E4" s="5">
        <v>0.185</v>
      </c>
      <c r="F4" s="5">
        <v>0.187</v>
      </c>
    </row>
    <row r="5" spans="2:8" x14ac:dyDescent="0.35">
      <c r="B5" s="5">
        <v>0.06</v>
      </c>
      <c r="C5" s="5">
        <v>0.21099999999999999</v>
      </c>
      <c r="D5" s="5">
        <v>0.215</v>
      </c>
      <c r="E5" s="5">
        <v>0.28100000000000003</v>
      </c>
      <c r="F5" s="5">
        <v>0.28399999999999997</v>
      </c>
    </row>
    <row r="6" spans="2:8" x14ac:dyDescent="0.35">
      <c r="B6" s="5">
        <v>0.08</v>
      </c>
      <c r="C6" s="5">
        <v>0.27600000000000002</v>
      </c>
      <c r="D6" s="5">
        <v>0.28000000000000003</v>
      </c>
      <c r="E6" s="5">
        <v>0.36199999999999999</v>
      </c>
      <c r="F6" s="5">
        <v>0.36699999999999999</v>
      </c>
    </row>
    <row r="7" spans="2:8" x14ac:dyDescent="0.35">
      <c r="B7" s="5">
        <v>0.1</v>
      </c>
      <c r="C7" s="5">
        <v>0.34</v>
      </c>
      <c r="D7" s="5">
        <v>0.34499999999999997</v>
      </c>
      <c r="E7" s="5">
        <v>0.45800000000000002</v>
      </c>
      <c r="F7" s="5">
        <v>0.46400000000000002</v>
      </c>
    </row>
    <row r="8" spans="2:8" x14ac:dyDescent="0.35">
      <c r="C8" s="5"/>
      <c r="D8" s="5"/>
      <c r="E8" s="5"/>
      <c r="F8" s="5"/>
    </row>
    <row r="9" spans="2:8" x14ac:dyDescent="0.35">
      <c r="B9" s="9" t="s">
        <v>24</v>
      </c>
      <c r="C9" s="9" t="s">
        <v>25</v>
      </c>
      <c r="D9" s="16" t="s">
        <v>26</v>
      </c>
      <c r="E9" s="16" t="s">
        <v>27</v>
      </c>
      <c r="F9" s="5"/>
      <c r="G9" s="9" t="s">
        <v>32</v>
      </c>
      <c r="H9" s="9" t="s">
        <v>33</v>
      </c>
    </row>
    <row r="10" spans="2:8" x14ac:dyDescent="0.35">
      <c r="B10">
        <f>$B$3</f>
        <v>0.02</v>
      </c>
      <c r="C10" s="5">
        <f>C3</f>
        <v>6.9000000000000006E-2</v>
      </c>
      <c r="D10" cm="1">
        <f t="array" ref="D10:D29">B10:B29^2</f>
        <v>4.0000000000000002E-4</v>
      </c>
      <c r="E10" cm="1">
        <f t="array" ref="E10:E29">B10:B29*C10:C29</f>
        <v>1.3800000000000002E-3</v>
      </c>
      <c r="F10" s="5"/>
      <c r="G10" s="4">
        <f>B10*$B$34+$B$33</f>
        <v>8.4550000000000305E-2</v>
      </c>
      <c r="H10">
        <f>(C10-G10)^2</f>
        <v>2.4180250000000933E-4</v>
      </c>
    </row>
    <row r="11" spans="2:8" x14ac:dyDescent="0.35">
      <c r="B11">
        <f>$B$4</f>
        <v>0.04</v>
      </c>
      <c r="C11" s="5">
        <f t="shared" ref="C11:C14" si="0">C4</f>
        <v>0.13400000000000001</v>
      </c>
      <c r="D11">
        <v>1.6000000000000001E-3</v>
      </c>
      <c r="E11">
        <v>5.3600000000000002E-3</v>
      </c>
      <c r="F11" s="5"/>
      <c r="G11" s="4">
        <f t="shared" ref="G11:G29" si="1">B11*$B$34+$B$33</f>
        <v>0.16395000000000015</v>
      </c>
      <c r="H11">
        <f t="shared" ref="H11:H29" si="2">(C11-G11)^2</f>
        <v>8.9700250000000856E-4</v>
      </c>
    </row>
    <row r="12" spans="2:8" x14ac:dyDescent="0.35">
      <c r="B12">
        <f>$B$5</f>
        <v>0.06</v>
      </c>
      <c r="C12" s="5">
        <f t="shared" si="0"/>
        <v>0.21099999999999999</v>
      </c>
      <c r="D12">
        <v>3.5999999999999999E-3</v>
      </c>
      <c r="E12">
        <v>1.2659999999999999E-2</v>
      </c>
      <c r="F12" s="5"/>
      <c r="G12" s="4">
        <f t="shared" si="1"/>
        <v>0.24334999999999998</v>
      </c>
      <c r="H12">
        <f t="shared" si="2"/>
        <v>1.0465224999999993E-3</v>
      </c>
    </row>
    <row r="13" spans="2:8" x14ac:dyDescent="0.35">
      <c r="B13">
        <f>$B$6</f>
        <v>0.08</v>
      </c>
      <c r="C13" s="5">
        <f t="shared" si="0"/>
        <v>0.27600000000000002</v>
      </c>
      <c r="D13">
        <v>6.4000000000000003E-3</v>
      </c>
      <c r="E13">
        <v>2.2080000000000002E-2</v>
      </c>
      <c r="F13" s="5"/>
      <c r="G13" s="4">
        <f t="shared" si="1"/>
        <v>0.32274999999999987</v>
      </c>
      <c r="H13">
        <f t="shared" si="2"/>
        <v>2.1855624999999857E-3</v>
      </c>
    </row>
    <row r="14" spans="2:8" x14ac:dyDescent="0.35">
      <c r="B14">
        <f>$B$7</f>
        <v>0.1</v>
      </c>
      <c r="C14" s="5">
        <f t="shared" si="0"/>
        <v>0.34</v>
      </c>
      <c r="D14">
        <v>1.0000000000000002E-2</v>
      </c>
      <c r="E14">
        <v>3.4000000000000002E-2</v>
      </c>
      <c r="F14" s="5"/>
      <c r="G14" s="4">
        <f t="shared" si="1"/>
        <v>0.40214999999999973</v>
      </c>
      <c r="H14">
        <f t="shared" si="2"/>
        <v>3.8626224999999633E-3</v>
      </c>
    </row>
    <row r="15" spans="2:8" x14ac:dyDescent="0.35">
      <c r="B15">
        <f>$B$3</f>
        <v>0.02</v>
      </c>
      <c r="C15" s="5">
        <f>D3</f>
        <v>7.9000000000000001E-2</v>
      </c>
      <c r="D15">
        <v>4.0000000000000002E-4</v>
      </c>
      <c r="E15">
        <v>1.58E-3</v>
      </c>
      <c r="F15" s="5"/>
      <c r="G15" s="4">
        <f t="shared" si="1"/>
        <v>8.4550000000000305E-2</v>
      </c>
      <c r="H15">
        <f t="shared" si="2"/>
        <v>3.0802500000003383E-5</v>
      </c>
    </row>
    <row r="16" spans="2:8" x14ac:dyDescent="0.35">
      <c r="B16">
        <f>$B$4</f>
        <v>0.04</v>
      </c>
      <c r="C16" s="5">
        <f t="shared" ref="C16:C19" si="3">D4</f>
        <v>0.13900000000000001</v>
      </c>
      <c r="D16">
        <v>1.6000000000000001E-3</v>
      </c>
      <c r="E16">
        <v>5.5600000000000007E-3</v>
      </c>
      <c r="F16" s="5"/>
      <c r="G16" s="4">
        <f t="shared" si="1"/>
        <v>0.16395000000000015</v>
      </c>
      <c r="H16">
        <f t="shared" si="2"/>
        <v>6.2250250000000693E-4</v>
      </c>
    </row>
    <row r="17" spans="1:8" x14ac:dyDescent="0.35">
      <c r="B17">
        <f>$B$5</f>
        <v>0.06</v>
      </c>
      <c r="C17" s="5">
        <f t="shared" si="3"/>
        <v>0.215</v>
      </c>
      <c r="D17">
        <v>3.5999999999999999E-3</v>
      </c>
      <c r="E17">
        <v>1.29E-2</v>
      </c>
      <c r="F17" s="5"/>
      <c r="G17" s="4">
        <f t="shared" si="1"/>
        <v>0.24334999999999998</v>
      </c>
      <c r="H17">
        <f t="shared" si="2"/>
        <v>8.0372249999999918E-4</v>
      </c>
    </row>
    <row r="18" spans="1:8" x14ac:dyDescent="0.35">
      <c r="B18">
        <f>$B$6</f>
        <v>0.08</v>
      </c>
      <c r="C18" s="5">
        <f t="shared" si="3"/>
        <v>0.28000000000000003</v>
      </c>
      <c r="D18">
        <v>6.4000000000000003E-3</v>
      </c>
      <c r="E18">
        <v>2.2400000000000003E-2</v>
      </c>
      <c r="F18" s="5"/>
      <c r="G18" s="4">
        <f t="shared" si="1"/>
        <v>0.32274999999999987</v>
      </c>
      <c r="H18">
        <f t="shared" si="2"/>
        <v>1.8275624999999865E-3</v>
      </c>
    </row>
    <row r="19" spans="1:8" x14ac:dyDescent="0.35">
      <c r="B19">
        <f>$B$7</f>
        <v>0.1</v>
      </c>
      <c r="C19" s="5">
        <f t="shared" si="3"/>
        <v>0.34499999999999997</v>
      </c>
      <c r="D19">
        <v>1.0000000000000002E-2</v>
      </c>
      <c r="E19">
        <v>3.4499999999999996E-2</v>
      </c>
      <c r="F19" s="5"/>
      <c r="G19" s="4">
        <f t="shared" si="1"/>
        <v>0.40214999999999973</v>
      </c>
      <c r="H19">
        <f t="shared" si="2"/>
        <v>3.2661224999999722E-3</v>
      </c>
    </row>
    <row r="20" spans="1:8" x14ac:dyDescent="0.35">
      <c r="B20">
        <f>$B$3</f>
        <v>0.02</v>
      </c>
      <c r="C20" s="5">
        <f>E3</f>
        <v>9.2999999999999999E-2</v>
      </c>
      <c r="D20">
        <v>4.0000000000000002E-4</v>
      </c>
      <c r="E20">
        <v>1.8600000000000001E-3</v>
      </c>
      <c r="F20" s="5"/>
      <c r="G20" s="4">
        <f t="shared" si="1"/>
        <v>8.4550000000000305E-2</v>
      </c>
      <c r="H20">
        <f t="shared" si="2"/>
        <v>7.1402499999994822E-5</v>
      </c>
    </row>
    <row r="21" spans="1:8" x14ac:dyDescent="0.35">
      <c r="B21">
        <f>$B$4</f>
        <v>0.04</v>
      </c>
      <c r="C21" s="5">
        <f t="shared" ref="C21:C24" si="4">E4</f>
        <v>0.185</v>
      </c>
      <c r="D21">
        <v>1.6000000000000001E-3</v>
      </c>
      <c r="E21">
        <v>7.4000000000000003E-3</v>
      </c>
      <c r="F21" s="5"/>
      <c r="G21" s="4">
        <f t="shared" si="1"/>
        <v>0.16395000000000015</v>
      </c>
      <c r="H21">
        <f t="shared" si="2"/>
        <v>4.4310249999999352E-4</v>
      </c>
    </row>
    <row r="22" spans="1:8" x14ac:dyDescent="0.35">
      <c r="B22">
        <f>$B$5</f>
        <v>0.06</v>
      </c>
      <c r="C22" s="5">
        <f t="shared" si="4"/>
        <v>0.28100000000000003</v>
      </c>
      <c r="D22">
        <v>3.5999999999999999E-3</v>
      </c>
      <c r="E22">
        <v>1.686E-2</v>
      </c>
      <c r="F22" s="5"/>
      <c r="G22" s="4">
        <f t="shared" si="1"/>
        <v>0.24334999999999998</v>
      </c>
      <c r="H22">
        <f t="shared" si="2"/>
        <v>1.4175225000000033E-3</v>
      </c>
    </row>
    <row r="23" spans="1:8" x14ac:dyDescent="0.35">
      <c r="B23">
        <f>$B$6</f>
        <v>0.08</v>
      </c>
      <c r="C23" s="5">
        <f t="shared" si="4"/>
        <v>0.36199999999999999</v>
      </c>
      <c r="D23">
        <v>6.4000000000000003E-3</v>
      </c>
      <c r="E23">
        <v>2.896E-2</v>
      </c>
      <c r="F23" s="5"/>
      <c r="G23" s="4">
        <f t="shared" si="1"/>
        <v>0.32274999999999987</v>
      </c>
      <c r="H23">
        <f t="shared" si="2"/>
        <v>1.5405625000000094E-3</v>
      </c>
    </row>
    <row r="24" spans="1:8" x14ac:dyDescent="0.35">
      <c r="B24">
        <f>$B$7</f>
        <v>0.1</v>
      </c>
      <c r="C24" s="5">
        <f t="shared" si="4"/>
        <v>0.45800000000000002</v>
      </c>
      <c r="D24">
        <v>1.0000000000000002E-2</v>
      </c>
      <c r="E24">
        <v>4.5800000000000007E-2</v>
      </c>
      <c r="F24" s="5"/>
      <c r="G24" s="4">
        <f t="shared" si="1"/>
        <v>0.40214999999999973</v>
      </c>
      <c r="H24">
        <f t="shared" si="2"/>
        <v>3.1192225000000323E-3</v>
      </c>
    </row>
    <row r="25" spans="1:8" x14ac:dyDescent="0.35">
      <c r="B25">
        <f>$B$3</f>
        <v>0.02</v>
      </c>
      <c r="C25" s="5">
        <f>F3</f>
        <v>9.8000000000000004E-2</v>
      </c>
      <c r="D25">
        <v>4.0000000000000002E-4</v>
      </c>
      <c r="E25">
        <v>1.9599999999999999E-3</v>
      </c>
      <c r="F25" s="5"/>
      <c r="G25" s="4">
        <f t="shared" si="1"/>
        <v>8.4550000000000305E-2</v>
      </c>
      <c r="H25">
        <f t="shared" si="2"/>
        <v>1.8090249999999189E-4</v>
      </c>
    </row>
    <row r="26" spans="1:8" x14ac:dyDescent="0.35">
      <c r="B26">
        <f>$B$4</f>
        <v>0.04</v>
      </c>
      <c r="C26" s="5">
        <f t="shared" ref="C26:C29" si="5">F4</f>
        <v>0.187</v>
      </c>
      <c r="D26">
        <v>1.6000000000000001E-3</v>
      </c>
      <c r="E26">
        <v>7.4800000000000005E-3</v>
      </c>
      <c r="F26" s="5"/>
      <c r="G26" s="4">
        <f t="shared" si="1"/>
        <v>0.16395000000000015</v>
      </c>
      <c r="H26">
        <f t="shared" si="2"/>
        <v>5.31302499999993E-4</v>
      </c>
    </row>
    <row r="27" spans="1:8" x14ac:dyDescent="0.35">
      <c r="B27">
        <f>$B$5</f>
        <v>0.06</v>
      </c>
      <c r="C27" s="5">
        <f t="shared" si="5"/>
        <v>0.28399999999999997</v>
      </c>
      <c r="D27">
        <v>3.5999999999999999E-3</v>
      </c>
      <c r="E27">
        <v>1.7039999999999996E-2</v>
      </c>
      <c r="F27" s="5"/>
      <c r="G27" s="4">
        <f t="shared" si="1"/>
        <v>0.24334999999999998</v>
      </c>
      <c r="H27">
        <f t="shared" si="2"/>
        <v>1.6524224999999993E-3</v>
      </c>
    </row>
    <row r="28" spans="1:8" x14ac:dyDescent="0.35">
      <c r="B28">
        <f>$B$6</f>
        <v>0.08</v>
      </c>
      <c r="C28" s="5">
        <f t="shared" si="5"/>
        <v>0.36699999999999999</v>
      </c>
      <c r="D28">
        <v>6.4000000000000003E-3</v>
      </c>
      <c r="E28">
        <v>2.9360000000000001E-2</v>
      </c>
      <c r="F28" s="5"/>
      <c r="G28" s="4">
        <f t="shared" si="1"/>
        <v>0.32274999999999987</v>
      </c>
      <c r="H28">
        <f t="shared" si="2"/>
        <v>1.958062500000011E-3</v>
      </c>
    </row>
    <row r="29" spans="1:8" x14ac:dyDescent="0.35">
      <c r="B29">
        <f>$B$7</f>
        <v>0.1</v>
      </c>
      <c r="C29" s="5">
        <f t="shared" si="5"/>
        <v>0.46400000000000002</v>
      </c>
      <c r="D29">
        <v>1.0000000000000002E-2</v>
      </c>
      <c r="E29">
        <v>4.6400000000000004E-2</v>
      </c>
      <c r="F29" s="5"/>
      <c r="G29" s="4">
        <f t="shared" si="1"/>
        <v>0.40214999999999973</v>
      </c>
      <c r="H29">
        <f t="shared" si="2"/>
        <v>3.8254225000000364E-3</v>
      </c>
    </row>
    <row r="30" spans="1:8" x14ac:dyDescent="0.35">
      <c r="A30" s="11" t="s">
        <v>28</v>
      </c>
      <c r="B30" s="17">
        <f>SUM(B10:B29)</f>
        <v>1.2000000000000002</v>
      </c>
      <c r="C30" s="17">
        <f t="shared" ref="C30:E30" si="6">SUM(C10:C29)</f>
        <v>4.8670000000000009</v>
      </c>
      <c r="D30" s="17">
        <f t="shared" si="6"/>
        <v>8.8000000000000023E-2</v>
      </c>
      <c r="E30" s="17">
        <f t="shared" si="6"/>
        <v>0.35553999999999997</v>
      </c>
      <c r="F30" s="5"/>
      <c r="G30" s="17">
        <f t="shared" ref="G30" si="7">SUM(G10:G29)</f>
        <v>4.8670000000000009</v>
      </c>
      <c r="H30" s="17">
        <f t="shared" ref="H30" si="8">SUM(H10:H29)</f>
        <v>2.9524149999999999E-2</v>
      </c>
    </row>
    <row r="31" spans="1:8" x14ac:dyDescent="0.35">
      <c r="A31" s="11" t="s">
        <v>29</v>
      </c>
      <c r="B31" s="17">
        <f>B30^2</f>
        <v>1.4400000000000004</v>
      </c>
      <c r="C31" s="17">
        <f t="shared" ref="C31:E31" si="9">C30^2</f>
        <v>23.68768900000001</v>
      </c>
      <c r="D31" s="17">
        <f t="shared" si="9"/>
        <v>7.7440000000000044E-3</v>
      </c>
      <c r="E31" s="17">
        <f t="shared" si="9"/>
        <v>0.12640869159999998</v>
      </c>
      <c r="F31" s="5"/>
    </row>
    <row r="33" spans="1:10" x14ac:dyDescent="0.35">
      <c r="A33" s="11" t="s">
        <v>30</v>
      </c>
      <c r="B33" s="17">
        <f>(D30*C30-B30*E30)/(20*D30-B31)</f>
        <v>5.1500000000004658E-3</v>
      </c>
      <c r="G33" s="18" t="s">
        <v>34</v>
      </c>
      <c r="H33" s="17">
        <f>H30/(20-2)</f>
        <v>1.6402305555555555E-3</v>
      </c>
    </row>
    <row r="34" spans="1:10" x14ac:dyDescent="0.35">
      <c r="A34" s="11" t="s">
        <v>31</v>
      </c>
      <c r="B34" s="20">
        <f>(20*E30-B30*C30)/(20*D30-B31)</f>
        <v>3.9699999999999922</v>
      </c>
      <c r="G34" s="11" t="s">
        <v>35</v>
      </c>
      <c r="H34" s="17">
        <f>(H33*D30)/(20*D30-B31)</f>
        <v>4.5106340277777779E-4</v>
      </c>
      <c r="I34" s="11" t="s">
        <v>38</v>
      </c>
      <c r="J34" s="17">
        <f>SQRT(H34)</f>
        <v>2.12382532892368E-2</v>
      </c>
    </row>
    <row r="35" spans="1:10" x14ac:dyDescent="0.35">
      <c r="G35" s="11" t="s">
        <v>36</v>
      </c>
      <c r="H35" s="17">
        <f>(H33*20)/(20*D30-B31)</f>
        <v>0.1025144097222222</v>
      </c>
      <c r="I35" s="11" t="s">
        <v>37</v>
      </c>
      <c r="J35" s="17">
        <f>SQRT(H35)</f>
        <v>0.32017871528604491</v>
      </c>
    </row>
    <row r="37" spans="1:10" x14ac:dyDescent="0.35">
      <c r="G37" s="11" t="s">
        <v>39</v>
      </c>
      <c r="H37" s="17">
        <f>_xlfn.T.INV.2T(1-0.95, 18)</f>
        <v>2.1009220402410378</v>
      </c>
    </row>
    <row r="38" spans="1:10" x14ac:dyDescent="0.35">
      <c r="G38" s="11" t="s">
        <v>40</v>
      </c>
      <c r="H38" s="17">
        <f>H37*J34</f>
        <v>4.4619914431579311E-2</v>
      </c>
    </row>
    <row r="39" spans="1:10" x14ac:dyDescent="0.35">
      <c r="G39" s="11" t="s">
        <v>41</v>
      </c>
      <c r="H39" s="17">
        <f>H37*J35</f>
        <v>0.67267051976051184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Спектр поглощения</vt:lpstr>
      <vt:lpstr>Кюветы</vt:lpstr>
      <vt:lpstr>ГГ</vt:lpstr>
      <vt:lpstr>МНК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t490</dc:creator>
  <cp:lastModifiedBy>Александр Конотоп</cp:lastModifiedBy>
  <dcterms:created xsi:type="dcterms:W3CDTF">2015-06-05T18:17:20Z</dcterms:created>
  <dcterms:modified xsi:type="dcterms:W3CDTF">2026-04-15T09:21:13Z</dcterms:modified>
</cp:coreProperties>
</file>